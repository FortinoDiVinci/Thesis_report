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tineau_Vin\Documents\GitHub\Thesis_report\Experience\"/>
    </mc:Choice>
  </mc:AlternateContent>
  <xr:revisionPtr revIDLastSave="0" documentId="13_ncr:1_{4377A9EE-1132-43EF-885C-9481431FC26F}" xr6:coauthVersionLast="36" xr6:coauthVersionMax="36" xr10:uidLastSave="{00000000-0000-0000-0000-000000000000}"/>
  <bookViews>
    <workbookView xWindow="0" yWindow="0" windowWidth="16200" windowHeight="117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B33" i="1"/>
  <c r="E5" i="1"/>
  <c r="E4" i="1"/>
  <c r="E12" i="1" l="1"/>
  <c r="F34" i="1" l="1"/>
  <c r="G34" i="1"/>
  <c r="F33" i="1"/>
  <c r="G33" i="1"/>
  <c r="G37" i="1"/>
  <c r="F37" i="1"/>
  <c r="G36" i="1"/>
  <c r="F36" i="1"/>
  <c r="F35" i="1"/>
  <c r="G35" i="1"/>
  <c r="E3" i="1"/>
  <c r="E6" i="1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E36" i="1" s="1"/>
  <c r="J37" i="1"/>
  <c r="I37" i="1"/>
  <c r="H37" i="1"/>
  <c r="D37" i="1"/>
  <c r="C37" i="1"/>
  <c r="B37" i="1"/>
  <c r="E37" i="1" l="1"/>
  <c r="E33" i="1"/>
  <c r="E34" i="1"/>
  <c r="E35" i="1"/>
  <c r="B36" i="1"/>
  <c r="B35" i="1"/>
  <c r="B34" i="1"/>
  <c r="C35" i="1"/>
  <c r="C34" i="1"/>
  <c r="C33" i="1"/>
  <c r="D34" i="1"/>
  <c r="D33" i="1"/>
  <c r="D35" i="1"/>
  <c r="D36" i="1"/>
  <c r="H33" i="1"/>
  <c r="H36" i="1"/>
  <c r="H35" i="1"/>
  <c r="H34" i="1"/>
  <c r="J34" i="1"/>
  <c r="J33" i="1"/>
  <c r="I33" i="1"/>
  <c r="I34" i="1"/>
  <c r="I36" i="1"/>
  <c r="J36" i="1"/>
  <c r="J35" i="1"/>
  <c r="I35" i="1"/>
</calcChain>
</file>

<file path=xl/sharedStrings.xml><?xml version="1.0" encoding="utf-8"?>
<sst xmlns="http://schemas.openxmlformats.org/spreadsheetml/2006/main" count="15" uniqueCount="15">
  <si>
    <t>user</t>
  </si>
  <si>
    <t>age</t>
  </si>
  <si>
    <t>size</t>
  </si>
  <si>
    <t>weight</t>
  </si>
  <si>
    <t>racket_sport_practice</t>
  </si>
  <si>
    <t>robot_handling_practice</t>
  </si>
  <si>
    <t>is_first_time</t>
  </si>
  <si>
    <t>min</t>
  </si>
  <si>
    <t>max</t>
  </si>
  <si>
    <t>mean</t>
  </si>
  <si>
    <t>mediane</t>
  </si>
  <si>
    <t>std dev</t>
  </si>
  <si>
    <t>BMI</t>
  </si>
  <si>
    <t>is_male</t>
  </si>
  <si>
    <t>is_right_handed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</si>
</sst>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1" fillId="0" borderId="9" xfId="0" applyNumberFormat="1" applyFont="1" applyBorder="1"/>
    <xf numFmtId="164" fontId="1" fillId="0" borderId="10" xfId="0" applyNumberFormat="1" applyFont="1" applyBorder="1"/>
    <xf numFmtId="164" fontId="1" fillId="0" borderId="1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topLeftCell="D1" workbookViewId="0">
      <selection activeCell="H35" sqref="H35"/>
    </sheetView>
  </sheetViews>
  <sheetFormatPr baseColWidth="10" defaultRowHeight="15" x14ac:dyDescent="0.25"/>
  <cols>
    <col min="6" max="6" width="7.5703125" customWidth="1"/>
    <col min="7" max="7" width="15.85546875" customWidth="1"/>
    <col min="8" max="8" width="22.85546875" customWidth="1"/>
    <col min="9" max="9" width="22.5703125" customWidth="1"/>
    <col min="10" max="10" width="14.5703125" customWidth="1"/>
  </cols>
  <sheetData>
    <row r="1" spans="1:10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12</v>
      </c>
      <c r="F1" s="4" t="s">
        <v>13</v>
      </c>
      <c r="G1" s="4" t="s">
        <v>14</v>
      </c>
      <c r="H1" s="4" t="s">
        <v>4</v>
      </c>
      <c r="I1" s="4" t="s">
        <v>5</v>
      </c>
      <c r="J1" s="5" t="s">
        <v>6</v>
      </c>
    </row>
    <row r="2" spans="1:10" x14ac:dyDescent="0.25">
      <c r="A2" s="2">
        <v>0</v>
      </c>
      <c r="B2">
        <v>27</v>
      </c>
      <c r="C2">
        <v>177</v>
      </c>
      <c r="D2">
        <v>66</v>
      </c>
      <c r="E2">
        <f>D2/(C2/100)^2</f>
        <v>21.066743273005841</v>
      </c>
      <c r="F2">
        <v>1</v>
      </c>
      <c r="G2">
        <v>0</v>
      </c>
      <c r="H2">
        <v>2</v>
      </c>
      <c r="I2">
        <v>2</v>
      </c>
      <c r="J2">
        <v>0</v>
      </c>
    </row>
    <row r="3" spans="1:10" x14ac:dyDescent="0.25">
      <c r="A3" s="1">
        <v>8</v>
      </c>
      <c r="B3">
        <v>27</v>
      </c>
      <c r="C3">
        <v>183</v>
      </c>
      <c r="D3">
        <v>73</v>
      </c>
      <c r="E3">
        <f t="shared" ref="E3:E31" si="0">D3/(C3/100)^2</f>
        <v>21.798202394816204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 s="1">
        <v>29</v>
      </c>
      <c r="B4">
        <v>26</v>
      </c>
      <c r="C4">
        <v>176</v>
      </c>
      <c r="D4">
        <v>75</v>
      </c>
      <c r="E4">
        <f>D4/(C4/100)^2</f>
        <v>24.212293388429753</v>
      </c>
      <c r="F4">
        <v>1</v>
      </c>
      <c r="G4">
        <v>1</v>
      </c>
      <c r="H4">
        <v>2</v>
      </c>
      <c r="I4">
        <v>0</v>
      </c>
      <c r="J4">
        <v>1</v>
      </c>
    </row>
    <row r="5" spans="1:10" x14ac:dyDescent="0.25">
      <c r="A5" s="1">
        <v>41</v>
      </c>
      <c r="B5">
        <v>25</v>
      </c>
      <c r="C5">
        <v>178</v>
      </c>
      <c r="D5">
        <v>67</v>
      </c>
      <c r="E5">
        <f>D5/(C5/100)^2</f>
        <v>21.146319909102385</v>
      </c>
      <c r="F5">
        <v>1</v>
      </c>
      <c r="G5">
        <v>1</v>
      </c>
      <c r="H5">
        <v>2</v>
      </c>
      <c r="I5">
        <v>1</v>
      </c>
      <c r="J5">
        <v>1</v>
      </c>
    </row>
    <row r="6" spans="1:10" x14ac:dyDescent="0.25">
      <c r="A6" s="1">
        <v>50</v>
      </c>
      <c r="B6">
        <v>27</v>
      </c>
      <c r="C6">
        <v>174</v>
      </c>
      <c r="D6">
        <v>70</v>
      </c>
      <c r="E6">
        <f t="shared" si="0"/>
        <v>23.120623596247853</v>
      </c>
      <c r="F6">
        <v>1</v>
      </c>
      <c r="G6">
        <v>1</v>
      </c>
      <c r="H6">
        <v>0</v>
      </c>
      <c r="I6">
        <v>1</v>
      </c>
      <c r="J6">
        <v>1</v>
      </c>
    </row>
    <row r="7" spans="1:10" x14ac:dyDescent="0.25">
      <c r="A7" s="1">
        <v>113</v>
      </c>
      <c r="B7">
        <v>27</v>
      </c>
      <c r="C7">
        <v>183</v>
      </c>
      <c r="D7">
        <v>70</v>
      </c>
      <c r="E7">
        <f t="shared" si="0"/>
        <v>20.902385858042937</v>
      </c>
      <c r="F7">
        <v>1</v>
      </c>
      <c r="G7">
        <v>1</v>
      </c>
      <c r="H7">
        <v>0</v>
      </c>
      <c r="I7">
        <v>1</v>
      </c>
      <c r="J7">
        <v>1</v>
      </c>
    </row>
    <row r="8" spans="1:10" x14ac:dyDescent="0.25">
      <c r="A8" s="1">
        <v>160</v>
      </c>
      <c r="B8">
        <v>24</v>
      </c>
      <c r="C8">
        <v>192</v>
      </c>
      <c r="D8">
        <v>85</v>
      </c>
      <c r="E8">
        <f t="shared" si="0"/>
        <v>23.057725694444446</v>
      </c>
      <c r="F8">
        <v>1</v>
      </c>
      <c r="G8">
        <v>1</v>
      </c>
      <c r="H8">
        <v>0</v>
      </c>
      <c r="I8">
        <v>1</v>
      </c>
      <c r="J8">
        <v>1</v>
      </c>
    </row>
    <row r="9" spans="1:10" x14ac:dyDescent="0.25">
      <c r="A9" s="1">
        <v>194</v>
      </c>
      <c r="B9">
        <v>26</v>
      </c>
      <c r="C9">
        <v>165</v>
      </c>
      <c r="D9">
        <v>59</v>
      </c>
      <c r="E9">
        <f t="shared" si="0"/>
        <v>21.6712580348944</v>
      </c>
      <c r="F9">
        <v>0</v>
      </c>
      <c r="G9">
        <v>1</v>
      </c>
      <c r="H9">
        <v>0</v>
      </c>
      <c r="I9">
        <v>0</v>
      </c>
      <c r="J9">
        <v>1</v>
      </c>
    </row>
    <row r="10" spans="1:10" x14ac:dyDescent="0.25">
      <c r="A10" s="1">
        <v>208</v>
      </c>
      <c r="B10">
        <v>26</v>
      </c>
      <c r="C10">
        <v>180</v>
      </c>
      <c r="D10">
        <v>95</v>
      </c>
      <c r="E10">
        <f t="shared" si="0"/>
        <v>29.320987654320987</v>
      </c>
      <c r="F10">
        <v>1</v>
      </c>
      <c r="G10">
        <v>0</v>
      </c>
      <c r="H10">
        <v>1</v>
      </c>
      <c r="I10">
        <v>0</v>
      </c>
      <c r="J10">
        <v>1</v>
      </c>
    </row>
    <row r="11" spans="1:10" x14ac:dyDescent="0.25">
      <c r="A11" s="1">
        <v>211</v>
      </c>
      <c r="B11">
        <v>40</v>
      </c>
      <c r="C11">
        <v>163</v>
      </c>
      <c r="D11">
        <v>53</v>
      </c>
      <c r="E11">
        <f t="shared" si="0"/>
        <v>19.948059768903612</v>
      </c>
      <c r="F11">
        <v>0</v>
      </c>
      <c r="G11">
        <v>1</v>
      </c>
      <c r="H11">
        <v>2</v>
      </c>
      <c r="I11">
        <v>1</v>
      </c>
      <c r="J11">
        <v>0</v>
      </c>
    </row>
    <row r="12" spans="1:10" x14ac:dyDescent="0.25">
      <c r="A12" s="1">
        <v>278</v>
      </c>
      <c r="B12">
        <v>24</v>
      </c>
      <c r="C12">
        <v>157</v>
      </c>
      <c r="D12">
        <v>48</v>
      </c>
      <c r="E12">
        <f t="shared" si="0"/>
        <v>19.473406629072173</v>
      </c>
      <c r="F12">
        <v>0</v>
      </c>
      <c r="G12">
        <v>1</v>
      </c>
      <c r="H12">
        <v>1</v>
      </c>
      <c r="I12">
        <v>1</v>
      </c>
      <c r="J12">
        <v>0</v>
      </c>
    </row>
    <row r="13" spans="1:10" x14ac:dyDescent="0.25">
      <c r="A13" s="1">
        <v>353</v>
      </c>
      <c r="B13">
        <v>50</v>
      </c>
      <c r="C13">
        <v>176</v>
      </c>
      <c r="D13">
        <v>72</v>
      </c>
      <c r="E13">
        <f t="shared" si="0"/>
        <v>23.243801652892564</v>
      </c>
      <c r="F13">
        <v>1</v>
      </c>
      <c r="G13">
        <v>1</v>
      </c>
      <c r="H13">
        <v>2</v>
      </c>
      <c r="I13">
        <v>1</v>
      </c>
      <c r="J13">
        <v>0</v>
      </c>
    </row>
    <row r="14" spans="1:10" x14ac:dyDescent="0.25">
      <c r="A14" s="1">
        <v>364</v>
      </c>
      <c r="B14">
        <v>30</v>
      </c>
      <c r="C14">
        <v>188</v>
      </c>
      <c r="D14">
        <v>68</v>
      </c>
      <c r="E14">
        <f t="shared" si="0"/>
        <v>19.239474875509281</v>
      </c>
      <c r="F14">
        <v>1</v>
      </c>
      <c r="G14">
        <v>1</v>
      </c>
      <c r="H14">
        <v>1</v>
      </c>
      <c r="I14">
        <v>1</v>
      </c>
      <c r="J14">
        <v>0</v>
      </c>
    </row>
    <row r="15" spans="1:10" x14ac:dyDescent="0.25">
      <c r="A15" s="1">
        <v>378</v>
      </c>
      <c r="B15">
        <v>28</v>
      </c>
      <c r="C15">
        <v>185</v>
      </c>
      <c r="D15">
        <v>75</v>
      </c>
      <c r="E15">
        <f t="shared" si="0"/>
        <v>21.913805697589478</v>
      </c>
      <c r="F15">
        <v>1</v>
      </c>
      <c r="G15">
        <v>1</v>
      </c>
      <c r="H15">
        <v>0</v>
      </c>
      <c r="I15">
        <v>1</v>
      </c>
      <c r="J15">
        <v>0</v>
      </c>
    </row>
    <row r="16" spans="1:10" x14ac:dyDescent="0.25">
      <c r="A16" s="1">
        <v>388</v>
      </c>
      <c r="B16">
        <v>26</v>
      </c>
      <c r="C16">
        <v>177</v>
      </c>
      <c r="D16">
        <v>90</v>
      </c>
      <c r="E16">
        <f t="shared" si="0"/>
        <v>28.727377190462509</v>
      </c>
      <c r="F16">
        <v>1</v>
      </c>
      <c r="G16">
        <v>0</v>
      </c>
      <c r="H16">
        <v>0</v>
      </c>
      <c r="I16">
        <v>1</v>
      </c>
      <c r="J16">
        <v>0</v>
      </c>
    </row>
    <row r="17" spans="1:10" x14ac:dyDescent="0.25">
      <c r="A17" s="2">
        <v>418</v>
      </c>
      <c r="B17">
        <v>22</v>
      </c>
      <c r="C17">
        <v>175</v>
      </c>
      <c r="D17">
        <v>60</v>
      </c>
      <c r="E17">
        <f t="shared" si="0"/>
        <v>19.591836734693878</v>
      </c>
      <c r="F17">
        <v>1</v>
      </c>
      <c r="G17">
        <v>1</v>
      </c>
      <c r="H17">
        <v>2</v>
      </c>
      <c r="I17">
        <v>0</v>
      </c>
      <c r="J17">
        <v>1</v>
      </c>
    </row>
    <row r="18" spans="1:10" x14ac:dyDescent="0.25">
      <c r="A18" s="2">
        <v>456</v>
      </c>
      <c r="B18">
        <v>49</v>
      </c>
      <c r="C18">
        <v>166</v>
      </c>
      <c r="D18">
        <v>80</v>
      </c>
      <c r="E18">
        <f t="shared" si="0"/>
        <v>29.031789809841779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 x14ac:dyDescent="0.25">
      <c r="A19" s="2">
        <v>495</v>
      </c>
      <c r="B19">
        <v>30</v>
      </c>
      <c r="C19">
        <v>174</v>
      </c>
      <c r="D19">
        <v>68</v>
      </c>
      <c r="E19">
        <f t="shared" si="0"/>
        <v>22.460034350640772</v>
      </c>
      <c r="F19">
        <v>1</v>
      </c>
      <c r="G19">
        <v>1</v>
      </c>
      <c r="H19">
        <v>2</v>
      </c>
      <c r="I19">
        <v>0</v>
      </c>
      <c r="J19">
        <v>1</v>
      </c>
    </row>
    <row r="20" spans="1:10" x14ac:dyDescent="0.25">
      <c r="A20" s="2">
        <v>546</v>
      </c>
      <c r="B20">
        <v>27</v>
      </c>
      <c r="C20">
        <v>162</v>
      </c>
      <c r="D20">
        <v>61</v>
      </c>
      <c r="E20">
        <f t="shared" si="0"/>
        <v>23.243408017070564</v>
      </c>
      <c r="F20">
        <v>0</v>
      </c>
      <c r="G20">
        <v>1</v>
      </c>
      <c r="H20">
        <v>1</v>
      </c>
      <c r="I20">
        <v>0</v>
      </c>
      <c r="J20">
        <v>1</v>
      </c>
    </row>
    <row r="21" spans="1:10" x14ac:dyDescent="0.25">
      <c r="A21" s="2">
        <v>548</v>
      </c>
      <c r="B21">
        <v>27</v>
      </c>
      <c r="C21">
        <v>174</v>
      </c>
      <c r="D21">
        <v>58</v>
      </c>
      <c r="E21">
        <f t="shared" si="0"/>
        <v>19.157088122605362</v>
      </c>
      <c r="F21">
        <v>1</v>
      </c>
      <c r="G21">
        <v>1</v>
      </c>
      <c r="H21">
        <v>1</v>
      </c>
      <c r="I21">
        <v>1</v>
      </c>
      <c r="J21">
        <v>0</v>
      </c>
    </row>
    <row r="22" spans="1:10" x14ac:dyDescent="0.25">
      <c r="A22" s="1">
        <v>555</v>
      </c>
      <c r="B22">
        <v>25</v>
      </c>
      <c r="C22">
        <v>179</v>
      </c>
      <c r="D22">
        <v>66</v>
      </c>
      <c r="E22">
        <f t="shared" si="0"/>
        <v>20.598608033457133</v>
      </c>
      <c r="F22">
        <v>1</v>
      </c>
      <c r="G22">
        <v>1</v>
      </c>
      <c r="H22">
        <v>2</v>
      </c>
      <c r="I22">
        <v>0</v>
      </c>
      <c r="J22">
        <v>1</v>
      </c>
    </row>
    <row r="23" spans="1:10" x14ac:dyDescent="0.25">
      <c r="A23" s="2">
        <v>573</v>
      </c>
      <c r="B23">
        <v>26</v>
      </c>
      <c r="C23">
        <v>172</v>
      </c>
      <c r="D23">
        <v>70</v>
      </c>
      <c r="E23">
        <f t="shared" si="0"/>
        <v>23.661438615467823</v>
      </c>
      <c r="F23">
        <v>1</v>
      </c>
      <c r="G23">
        <v>1</v>
      </c>
      <c r="H23">
        <v>2</v>
      </c>
      <c r="I23">
        <v>1</v>
      </c>
      <c r="J23">
        <v>0</v>
      </c>
    </row>
    <row r="24" spans="1:10" x14ac:dyDescent="0.25">
      <c r="A24" s="2">
        <v>640</v>
      </c>
      <c r="B24">
        <v>19</v>
      </c>
      <c r="C24">
        <v>180</v>
      </c>
      <c r="D24">
        <v>67</v>
      </c>
      <c r="E24">
        <f t="shared" si="0"/>
        <v>20.679012345679013</v>
      </c>
      <c r="F24">
        <v>0</v>
      </c>
      <c r="G24">
        <v>1</v>
      </c>
      <c r="H24">
        <v>2</v>
      </c>
      <c r="I24">
        <v>0</v>
      </c>
      <c r="J24">
        <v>1</v>
      </c>
    </row>
    <row r="25" spans="1:10" x14ac:dyDescent="0.25">
      <c r="A25" s="2">
        <v>661</v>
      </c>
      <c r="B25">
        <v>27</v>
      </c>
      <c r="C25">
        <v>162</v>
      </c>
      <c r="D25">
        <v>65</v>
      </c>
      <c r="E25">
        <f t="shared" si="0"/>
        <v>24.767565919829291</v>
      </c>
      <c r="F25">
        <v>0</v>
      </c>
      <c r="G25">
        <v>1</v>
      </c>
      <c r="H25">
        <v>1</v>
      </c>
      <c r="I25">
        <v>0</v>
      </c>
      <c r="J25">
        <v>1</v>
      </c>
    </row>
    <row r="26" spans="1:10" x14ac:dyDescent="0.25">
      <c r="A26" s="2">
        <v>666</v>
      </c>
      <c r="B26">
        <v>29</v>
      </c>
      <c r="C26">
        <v>200</v>
      </c>
      <c r="D26">
        <v>95</v>
      </c>
      <c r="E26">
        <f t="shared" si="0"/>
        <v>23.75</v>
      </c>
      <c r="F26">
        <v>1</v>
      </c>
      <c r="G26">
        <v>1</v>
      </c>
      <c r="H26">
        <v>1</v>
      </c>
      <c r="I26">
        <v>1</v>
      </c>
      <c r="J26">
        <v>0</v>
      </c>
    </row>
    <row r="27" spans="1:10" x14ac:dyDescent="0.25">
      <c r="A27" s="1">
        <v>710</v>
      </c>
      <c r="B27">
        <v>43</v>
      </c>
      <c r="C27">
        <v>182</v>
      </c>
      <c r="D27">
        <v>105</v>
      </c>
      <c r="E27">
        <f t="shared" si="0"/>
        <v>31.69907016060862</v>
      </c>
      <c r="F27">
        <v>1</v>
      </c>
      <c r="G27">
        <v>1</v>
      </c>
      <c r="H27">
        <v>1</v>
      </c>
      <c r="I27">
        <v>1</v>
      </c>
      <c r="J27">
        <v>0</v>
      </c>
    </row>
    <row r="28" spans="1:10" x14ac:dyDescent="0.25">
      <c r="A28" s="1">
        <v>740</v>
      </c>
      <c r="B28">
        <v>27</v>
      </c>
      <c r="C28">
        <v>172</v>
      </c>
      <c r="D28">
        <v>66</v>
      </c>
      <c r="E28">
        <f t="shared" si="0"/>
        <v>22.309356408869661</v>
      </c>
      <c r="F28">
        <v>1</v>
      </c>
      <c r="G28">
        <v>1</v>
      </c>
      <c r="H28">
        <v>3</v>
      </c>
      <c r="I28">
        <v>0</v>
      </c>
      <c r="J28">
        <v>1</v>
      </c>
    </row>
    <row r="29" spans="1:10" x14ac:dyDescent="0.25">
      <c r="A29" s="1">
        <v>841</v>
      </c>
      <c r="B29">
        <v>56</v>
      </c>
      <c r="C29">
        <v>181</v>
      </c>
      <c r="D29">
        <v>78</v>
      </c>
      <c r="E29">
        <f t="shared" si="0"/>
        <v>23.808797045267237</v>
      </c>
      <c r="F29">
        <v>1</v>
      </c>
      <c r="G29">
        <v>1</v>
      </c>
      <c r="H29">
        <v>0</v>
      </c>
      <c r="I29">
        <v>0</v>
      </c>
      <c r="J29">
        <v>1</v>
      </c>
    </row>
    <row r="30" spans="1:10" x14ac:dyDescent="0.25">
      <c r="A30" s="1">
        <v>851</v>
      </c>
      <c r="B30">
        <v>24</v>
      </c>
      <c r="C30">
        <v>185</v>
      </c>
      <c r="D30">
        <v>80</v>
      </c>
      <c r="E30">
        <f t="shared" si="0"/>
        <v>23.374726077428779</v>
      </c>
      <c r="F30">
        <v>1</v>
      </c>
      <c r="G30">
        <v>1</v>
      </c>
      <c r="H30">
        <v>1</v>
      </c>
      <c r="I30">
        <v>0</v>
      </c>
      <c r="J30">
        <v>1</v>
      </c>
    </row>
    <row r="31" spans="1:10" x14ac:dyDescent="0.25">
      <c r="A31" s="1">
        <v>922</v>
      </c>
      <c r="B31">
        <v>31</v>
      </c>
      <c r="C31">
        <v>170</v>
      </c>
      <c r="D31">
        <v>60</v>
      </c>
      <c r="E31">
        <f t="shared" si="0"/>
        <v>20.761245674740486</v>
      </c>
      <c r="F31">
        <v>1</v>
      </c>
      <c r="G31">
        <v>1</v>
      </c>
      <c r="H31">
        <v>1</v>
      </c>
      <c r="I31">
        <v>0</v>
      </c>
      <c r="J31">
        <v>0</v>
      </c>
    </row>
    <row r="32" spans="1:10" ht="15.75" thickBot="1" x14ac:dyDescent="0.3">
      <c r="A32" s="1"/>
    </row>
    <row r="33" spans="1:10" x14ac:dyDescent="0.25">
      <c r="A33" s="12" t="s">
        <v>7</v>
      </c>
      <c r="B33" s="6">
        <f>MIN(B2:B31)</f>
        <v>19</v>
      </c>
      <c r="C33" s="6">
        <f>MIN(C2:C31)</f>
        <v>157</v>
      </c>
      <c r="D33" s="6">
        <f>MIN(D2:D31)</f>
        <v>48</v>
      </c>
      <c r="E33" s="6">
        <f>MIN(E2:E31)</f>
        <v>19.157088122605362</v>
      </c>
      <c r="F33" s="6">
        <f t="shared" ref="F33:G33" si="1">MIN(F2:F31)</f>
        <v>0</v>
      </c>
      <c r="G33" s="6">
        <f t="shared" si="1"/>
        <v>0</v>
      </c>
      <c r="H33" s="6">
        <f>MIN(H2:H31)</f>
        <v>0</v>
      </c>
      <c r="I33" s="6">
        <f>MIN(I2:I31)</f>
        <v>0</v>
      </c>
      <c r="J33" s="7">
        <f>MIN(J2:J31)</f>
        <v>0</v>
      </c>
    </row>
    <row r="34" spans="1:10" x14ac:dyDescent="0.25">
      <c r="A34" s="13" t="s">
        <v>8</v>
      </c>
      <c r="B34" s="8">
        <f>MAX(B2:B31)</f>
        <v>56</v>
      </c>
      <c r="C34" s="8">
        <f>MAX(C2:C31)</f>
        <v>200</v>
      </c>
      <c r="D34" s="8">
        <f>MAX(D2:D31)</f>
        <v>105</v>
      </c>
      <c r="E34" s="8">
        <f>MAX(E2:E31)</f>
        <v>31.69907016060862</v>
      </c>
      <c r="F34" s="8">
        <f t="shared" ref="F34:G34" si="2">MAX(F2:F31)</f>
        <v>1</v>
      </c>
      <c r="G34" s="8">
        <f t="shared" si="2"/>
        <v>1</v>
      </c>
      <c r="H34" s="8">
        <f>MAX(H2:H31)</f>
        <v>3</v>
      </c>
      <c r="I34" s="8">
        <f>MAX(I2:I31)</f>
        <v>2</v>
      </c>
      <c r="J34" s="9">
        <f>MAX(J2:J31)</f>
        <v>1</v>
      </c>
    </row>
    <row r="35" spans="1:10" x14ac:dyDescent="0.25">
      <c r="A35" s="13" t="s">
        <v>9</v>
      </c>
      <c r="B35" s="8">
        <f t="shared" ref="B35:J35" si="3">AVERAGE(B2:B31)</f>
        <v>29.833333333333332</v>
      </c>
      <c r="C35" s="8">
        <f t="shared" si="3"/>
        <v>176.26666666666668</v>
      </c>
      <c r="D35" s="8">
        <f t="shared" si="3"/>
        <v>71.5</v>
      </c>
      <c r="E35" s="8">
        <f t="shared" si="3"/>
        <v>22.924548097797832</v>
      </c>
      <c r="F35" s="8">
        <f t="shared" si="3"/>
        <v>0.8</v>
      </c>
      <c r="G35" s="8">
        <f t="shared" si="3"/>
        <v>0.9</v>
      </c>
      <c r="H35" s="8">
        <f t="shared" si="3"/>
        <v>1.1666666666666667</v>
      </c>
      <c r="I35" s="8">
        <f t="shared" si="3"/>
        <v>0.6</v>
      </c>
      <c r="J35" s="9">
        <f t="shared" si="3"/>
        <v>0.6</v>
      </c>
    </row>
    <row r="36" spans="1:10" x14ac:dyDescent="0.25">
      <c r="A36" s="13" t="s">
        <v>10</v>
      </c>
      <c r="B36" s="8">
        <f t="shared" ref="B36:J36" si="4">MEDIAN(B2:B31)</f>
        <v>27</v>
      </c>
      <c r="C36" s="8">
        <f>MEDIAN(C2:C31)</f>
        <v>176.5</v>
      </c>
      <c r="D36" s="8">
        <f t="shared" si="4"/>
        <v>69</v>
      </c>
      <c r="E36" s="8">
        <f t="shared" si="4"/>
        <v>22.384695379755215</v>
      </c>
      <c r="F36" s="8">
        <f t="shared" si="4"/>
        <v>1</v>
      </c>
      <c r="G36" s="8">
        <f t="shared" si="4"/>
        <v>1</v>
      </c>
      <c r="H36" s="8">
        <f t="shared" si="4"/>
        <v>1</v>
      </c>
      <c r="I36" s="8">
        <f t="shared" si="4"/>
        <v>1</v>
      </c>
      <c r="J36" s="9">
        <f t="shared" si="4"/>
        <v>1</v>
      </c>
    </row>
    <row r="37" spans="1:10" ht="15.75" thickBot="1" x14ac:dyDescent="0.3">
      <c r="A37" s="14" t="s">
        <v>11</v>
      </c>
      <c r="B37" s="10">
        <f t="shared" ref="B37:J37" si="5">_xlfn.STDEV.S(B3:B32)</f>
        <v>8.8597445725949484</v>
      </c>
      <c r="C37" s="10">
        <f t="shared" si="5"/>
        <v>9.5717410433517891</v>
      </c>
      <c r="D37" s="10">
        <f t="shared" si="5"/>
        <v>13.019500342277389</v>
      </c>
      <c r="E37" s="10">
        <f t="shared" si="5"/>
        <v>3.1778907660326361</v>
      </c>
      <c r="F37" s="10">
        <f t="shared" si="5"/>
        <v>0.41225082039488542</v>
      </c>
      <c r="G37" s="10">
        <f t="shared" si="5"/>
        <v>0.2578807147775638</v>
      </c>
      <c r="H37" s="10">
        <f t="shared" si="5"/>
        <v>0.83341543109554761</v>
      </c>
      <c r="I37" s="10">
        <f t="shared" si="5"/>
        <v>0.50612017887847582</v>
      </c>
      <c r="J37" s="11">
        <f t="shared" si="5"/>
        <v>0.49380397379124008</v>
      </c>
    </row>
    <row r="38" spans="1:10" x14ac:dyDescent="0.25">
      <c r="A38" s="1"/>
    </row>
    <row r="39" spans="1:10" x14ac:dyDescent="0.25">
      <c r="A39" s="1"/>
    </row>
    <row r="40" spans="1:10" x14ac:dyDescent="0.25">
      <c r="A40" s="1"/>
    </row>
    <row r="41" spans="1:10" x14ac:dyDescent="0.25">
      <c r="A41" s="1"/>
    </row>
    <row r="42" spans="1:10" x14ac:dyDescent="0.25">
      <c r="A42" s="1"/>
    </row>
    <row r="43" spans="1:10" x14ac:dyDescent="0.25">
      <c r="A43" s="1"/>
    </row>
    <row r="44" spans="1:10" x14ac:dyDescent="0.25">
      <c r="A44" s="1"/>
    </row>
    <row r="45" spans="1:10" x14ac:dyDescent="0.25">
      <c r="A45" s="1"/>
    </row>
    <row r="46" spans="1:10" x14ac:dyDescent="0.25">
      <c r="A46" s="1"/>
    </row>
    <row r="47" spans="1:10" x14ac:dyDescent="0.25">
      <c r="A47" s="1"/>
    </row>
    <row r="48" spans="1:10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Fortineau</dc:creator>
  <cp:lastModifiedBy>Vincent Fortineau</cp:lastModifiedBy>
  <dcterms:created xsi:type="dcterms:W3CDTF">2021-06-09T15:00:19Z</dcterms:created>
  <dcterms:modified xsi:type="dcterms:W3CDTF">2021-06-22T09:38:03Z</dcterms:modified>
</cp:coreProperties>
</file>