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ortineau_vin\Documents\GitHub\Thesis_report\data\ball_bouncing_experiment\experimental_bench_pert\"/>
    </mc:Choice>
  </mc:AlternateContent>
  <bookViews>
    <workbookView xWindow="0" yWindow="0" windowWidth="2655" windowHeight="0" activeTab="2"/>
  </bookViews>
  <sheets>
    <sheet name="position reconstruction" sheetId="1" r:id="rId1"/>
    <sheet name="position reconstruction 2" sheetId="3" r:id="rId2"/>
    <sheet name="virtual force estimation" sheetId="2" r:id="rId3"/>
  </sheets>
  <calcPr calcId="162913"/>
</workbook>
</file>

<file path=xl/calcChain.xml><?xml version="1.0" encoding="utf-8"?>
<calcChain xmlns="http://schemas.openxmlformats.org/spreadsheetml/2006/main">
  <c r="J53" i="3" l="1"/>
  <c r="J52" i="3"/>
  <c r="J51" i="3"/>
  <c r="I61" i="3"/>
  <c r="I60" i="3"/>
  <c r="I59" i="3"/>
  <c r="I58" i="3"/>
  <c r="I57" i="3"/>
  <c r="I56" i="3"/>
  <c r="I55" i="3"/>
  <c r="I54" i="3"/>
  <c r="I53" i="3"/>
  <c r="I52" i="3"/>
  <c r="I51" i="3"/>
  <c r="H61" i="3"/>
  <c r="H60" i="3"/>
  <c r="H59" i="3"/>
  <c r="H58" i="3"/>
  <c r="H57" i="3"/>
  <c r="H56" i="3"/>
  <c r="H55" i="3"/>
  <c r="H54" i="3"/>
  <c r="H53" i="3"/>
  <c r="H52" i="3"/>
  <c r="H51" i="3"/>
  <c r="G61" i="3"/>
  <c r="G60" i="3"/>
  <c r="G59" i="3"/>
  <c r="G58" i="3"/>
  <c r="G57" i="3"/>
  <c r="G56" i="3"/>
  <c r="G55" i="3"/>
  <c r="G54" i="3"/>
  <c r="G53" i="3"/>
  <c r="G52" i="3"/>
  <c r="G51" i="3"/>
  <c r="F61" i="3"/>
  <c r="F60" i="3"/>
  <c r="F59" i="3"/>
  <c r="F58" i="3"/>
  <c r="F57" i="3"/>
  <c r="F56" i="3"/>
  <c r="F55" i="3"/>
  <c r="F54" i="3"/>
  <c r="F53" i="3"/>
  <c r="D26" i="2" s="1"/>
  <c r="F52" i="3"/>
  <c r="F51" i="3"/>
  <c r="E61" i="3"/>
  <c r="E60" i="3"/>
  <c r="E59" i="3"/>
  <c r="E58" i="3"/>
  <c r="E57" i="3"/>
  <c r="E56" i="3"/>
  <c r="E55" i="3"/>
  <c r="E54" i="3"/>
  <c r="E53" i="3"/>
  <c r="E52" i="3"/>
  <c r="E51" i="3"/>
  <c r="D25" i="2" s="1"/>
  <c r="D61" i="3"/>
  <c r="D60" i="3"/>
  <c r="D59" i="3"/>
  <c r="D58" i="3"/>
  <c r="D57" i="3"/>
  <c r="D56" i="3"/>
  <c r="D55" i="3"/>
  <c r="D54" i="3"/>
  <c r="D53" i="3"/>
  <c r="D52" i="3"/>
  <c r="D51" i="3"/>
  <c r="D24" i="2" s="1"/>
  <c r="L18" i="2"/>
  <c r="D27" i="2"/>
  <c r="D31" i="2"/>
  <c r="N27" i="2"/>
  <c r="M27" i="2"/>
  <c r="L27" i="2"/>
  <c r="K27" i="2"/>
  <c r="J27" i="2"/>
  <c r="I27" i="2"/>
  <c r="H27" i="2"/>
  <c r="G27" i="2"/>
  <c r="E27" i="2"/>
  <c r="F27" i="2"/>
  <c r="C19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R32" i="2"/>
  <c r="R31" i="2"/>
  <c r="R30" i="2"/>
  <c r="R29" i="2"/>
  <c r="R28" i="2"/>
  <c r="R27" i="2"/>
  <c r="R26" i="2"/>
  <c r="R25" i="2"/>
  <c r="R24" i="2"/>
  <c r="R35" i="2"/>
  <c r="R34" i="2"/>
  <c r="R33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7" i="2"/>
  <c r="R8" i="2"/>
  <c r="R6" i="2"/>
  <c r="R5" i="2"/>
  <c r="R4" i="2"/>
  <c r="R3" i="2"/>
  <c r="E19" i="2"/>
  <c r="D19" i="2"/>
  <c r="L45" i="3"/>
  <c r="AD34" i="3"/>
  <c r="Q45" i="3"/>
  <c r="P45" i="3"/>
  <c r="O45" i="3"/>
  <c r="N45" i="3"/>
  <c r="K45" i="3"/>
  <c r="J45" i="3"/>
  <c r="I45" i="3"/>
  <c r="H45" i="3"/>
  <c r="G45" i="3"/>
  <c r="L15" i="2"/>
  <c r="L16" i="2"/>
  <c r="M45" i="3" l="1"/>
  <c r="N34" i="1" l="1"/>
  <c r="Q26" i="1"/>
  <c r="P26" i="1"/>
  <c r="O26" i="1"/>
  <c r="N26" i="1"/>
</calcChain>
</file>

<file path=xl/sharedStrings.xml><?xml version="1.0" encoding="utf-8"?>
<sst xmlns="http://schemas.openxmlformats.org/spreadsheetml/2006/main" count="277" uniqueCount="54">
  <si>
    <t>Cycle phase</t>
  </si>
  <si>
    <t>SineOpt+</t>
  </si>
  <si>
    <t>5sineOpt+</t>
  </si>
  <si>
    <t>5sineNlcOpt+</t>
  </si>
  <si>
    <t>3sineOpt+</t>
  </si>
  <si>
    <t>3sineNlcOpt+</t>
  </si>
  <si>
    <t>sineOptM</t>
  </si>
  <si>
    <t>3sineNlcOptM</t>
  </si>
  <si>
    <t>3sineOptM</t>
  </si>
  <si>
    <t>2sineNlcOptM</t>
  </si>
  <si>
    <t>2sineOptM</t>
  </si>
  <si>
    <t>filter+</t>
  </si>
  <si>
    <t xml:space="preserve">Reconstruction fit, using identified impedance parameters with ARX method </t>
  </si>
  <si>
    <t>Method*</t>
  </si>
  <si>
    <t>* virtual force estimation</t>
  </si>
  <si>
    <t>Default parameters for force estimation:</t>
  </si>
  <si>
    <t>n = 4</t>
  </si>
  <si>
    <t>lc = 1</t>
  </si>
  <si>
    <t>The number in front of "sine" indicates the value of n</t>
  </si>
  <si>
    <t>If the name contains Nlc it indicates that lc = 0</t>
  </si>
  <si>
    <t>Opt+ means that a multi start was done only once per experiment,</t>
  </si>
  <si>
    <t>providing the initial value for all the estimation</t>
  </si>
  <si>
    <t>OptM means that multi starts were done at each estimation</t>
  </si>
  <si>
    <t>delay (ms)</t>
  </si>
  <si>
    <t>Fit equation :</t>
  </si>
  <si>
    <t>is the reconstruction error</t>
  </si>
  <si>
    <t>is the measured output</t>
  </si>
  <si>
    <t>correlation</t>
  </si>
  <si>
    <t>Strong inverse correlation between average and standard deviation</t>
  </si>
  <si>
    <t>Nb samples per cycle phase</t>
  </si>
  <si>
    <t>Upper</t>
  </si>
  <si>
    <t>Lower</t>
  </si>
  <si>
    <t>Decreas.</t>
  </si>
  <si>
    <t>total</t>
  </si>
  <si>
    <t>upper</t>
  </si>
  <si>
    <t>decreasing</t>
  </si>
  <si>
    <t>lower</t>
  </si>
  <si>
    <t>phase</t>
  </si>
  <si>
    <t>Decreasing</t>
  </si>
  <si>
    <t>Corrélation between average fit and standard deviation of the fits</t>
  </si>
  <si>
    <t>average</t>
  </si>
  <si>
    <t>std</t>
  </si>
  <si>
    <t>The phase cycle are sorted</t>
  </si>
  <si>
    <t xml:space="preserve">online (based on the previous </t>
  </si>
  <si>
    <t>cycles duration)</t>
  </si>
  <si>
    <t>offline using the same methodology</t>
  </si>
  <si>
    <t>as in virtual force estimation tab</t>
  </si>
  <si>
    <t>Total</t>
  </si>
  <si>
    <t>Phase</t>
  </si>
  <si>
    <t>Correlation</t>
  </si>
  <si>
    <t>avg</t>
  </si>
  <si>
    <t>Method</t>
  </si>
  <si>
    <t>Correlation between accuracy in trajectory prediction and fit after position reconstruction using identified impedance parameters</t>
  </si>
  <si>
    <t>providing the initial value for the rest of estimations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</si>
</sst>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sz val="16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0" fontId="0" fillId="0" borderId="6" xfId="0" applyNumberFormat="1" applyBorder="1"/>
    <xf numFmtId="10" fontId="0" fillId="0" borderId="1" xfId="0" applyNumberFormat="1" applyBorder="1"/>
    <xf numFmtId="10" fontId="0" fillId="0" borderId="12" xfId="0" applyNumberFormat="1" applyBorder="1"/>
    <xf numFmtId="10" fontId="0" fillId="0" borderId="9" xfId="0" applyNumberFormat="1" applyBorder="1"/>
    <xf numFmtId="10" fontId="0" fillId="0" borderId="13" xfId="0" applyNumberFormat="1" applyBorder="1"/>
    <xf numFmtId="10" fontId="0" fillId="0" borderId="17" xfId="0" applyNumberFormat="1" applyBorder="1"/>
    <xf numFmtId="10" fontId="0" fillId="0" borderId="18" xfId="0" applyNumberFormat="1" applyBorder="1"/>
    <xf numFmtId="10" fontId="2" fillId="0" borderId="17" xfId="0" applyNumberFormat="1" applyFont="1" applyBorder="1"/>
    <xf numFmtId="10" fontId="2" fillId="0" borderId="18" xfId="0" applyNumberFormat="1" applyFont="1" applyBorder="1"/>
    <xf numFmtId="10" fontId="0" fillId="0" borderId="8" xfId="0" applyNumberFormat="1" applyBorder="1"/>
    <xf numFmtId="10" fontId="0" fillId="0" borderId="19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10" fontId="0" fillId="0" borderId="24" xfId="0" applyNumberFormat="1" applyBorder="1"/>
    <xf numFmtId="10" fontId="0" fillId="0" borderId="25" xfId="0" applyNumberFormat="1" applyBorder="1"/>
    <xf numFmtId="0" fontId="1" fillId="0" borderId="2" xfId="0" applyFont="1" applyBorder="1" applyAlignment="1">
      <alignment horizontal="center"/>
    </xf>
    <xf numFmtId="10" fontId="2" fillId="0" borderId="1" xfId="0" applyNumberFormat="1" applyFont="1" applyBorder="1"/>
    <xf numFmtId="10" fontId="2" fillId="0" borderId="13" xfId="0" applyNumberFormat="1" applyFont="1" applyBorder="1"/>
    <xf numFmtId="10" fontId="2" fillId="0" borderId="19" xfId="0" applyNumberFormat="1" applyFont="1" applyBorder="1"/>
    <xf numFmtId="10" fontId="2" fillId="0" borderId="10" xfId="0" applyNumberFormat="1" applyFont="1" applyBorder="1"/>
    <xf numFmtId="10" fontId="2" fillId="0" borderId="21" xfId="0" applyNumberFormat="1" applyFont="1" applyBorder="1"/>
    <xf numFmtId="10" fontId="2" fillId="0" borderId="22" xfId="0" applyNumberFormat="1" applyFont="1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1" fillId="0" borderId="4" xfId="0" applyFont="1" applyBorder="1"/>
    <xf numFmtId="0" fontId="4" fillId="0" borderId="5" xfId="0" applyFont="1" applyBorder="1"/>
    <xf numFmtId="0" fontId="4" fillId="0" borderId="4" xfId="0" applyFont="1" applyBorder="1"/>
    <xf numFmtId="0" fontId="0" fillId="0" borderId="12" xfId="0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0" fillId="0" borderId="15" xfId="0" applyBorder="1"/>
    <xf numFmtId="0" fontId="0" fillId="0" borderId="16" xfId="0" applyBorder="1"/>
    <xf numFmtId="0" fontId="1" fillId="0" borderId="2" xfId="0" applyFont="1" applyFill="1" applyBorder="1"/>
    <xf numFmtId="10" fontId="0" fillId="0" borderId="14" xfId="0" applyNumberFormat="1" applyBorder="1"/>
    <xf numFmtId="10" fontId="2" fillId="0" borderId="9" xfId="0" applyNumberFormat="1" applyFont="1" applyBorder="1"/>
    <xf numFmtId="10" fontId="2" fillId="0" borderId="14" xfId="0" applyNumberFormat="1" applyFont="1" applyBorder="1"/>
    <xf numFmtId="10" fontId="2" fillId="0" borderId="8" xfId="0" applyNumberFormat="1" applyFont="1" applyBorder="1"/>
    <xf numFmtId="10" fontId="2" fillId="0" borderId="11" xfId="0" applyNumberFormat="1" applyFont="1" applyBorder="1"/>
    <xf numFmtId="0" fontId="3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0" fontId="2" fillId="0" borderId="12" xfId="0" applyNumberFormat="1" applyFont="1" applyBorder="1"/>
    <xf numFmtId="10" fontId="2" fillId="0" borderId="23" xfId="0" applyNumberFormat="1" applyFont="1" applyBorder="1"/>
    <xf numFmtId="10" fontId="0" fillId="0" borderId="26" xfId="0" applyNumberFormat="1" applyBorder="1"/>
    <xf numFmtId="10" fontId="0" fillId="0" borderId="27" xfId="0" applyNumberFormat="1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10" fontId="2" fillId="0" borderId="24" xfId="0" applyNumberFormat="1" applyFont="1" applyBorder="1"/>
    <xf numFmtId="10" fontId="2" fillId="0" borderId="27" xfId="0" applyNumberFormat="1" applyFont="1" applyBorder="1"/>
    <xf numFmtId="10" fontId="0" fillId="0" borderId="28" xfId="0" applyNumberFormat="1" applyBorder="1"/>
    <xf numFmtId="10" fontId="0" fillId="0" borderId="29" xfId="0" applyNumberFormat="1" applyBorder="1"/>
    <xf numFmtId="10" fontId="0" fillId="0" borderId="31" xfId="0" applyNumberFormat="1" applyBorder="1"/>
    <xf numFmtId="10" fontId="0" fillId="0" borderId="32" xfId="0" applyNumberFormat="1" applyBorder="1"/>
    <xf numFmtId="10" fontId="0" fillId="0" borderId="30" xfId="0" applyNumberFormat="1" applyBorder="1"/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/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0" fillId="0" borderId="0" xfId="0" applyNumberFormat="1"/>
    <xf numFmtId="10" fontId="2" fillId="0" borderId="28" xfId="0" applyNumberFormat="1" applyFont="1" applyBorder="1"/>
    <xf numFmtId="10" fontId="2" fillId="0" borderId="29" xfId="0" applyNumberFormat="1" applyFont="1" applyBorder="1"/>
    <xf numFmtId="10" fontId="2" fillId="0" borderId="30" xfId="0" applyNumberFormat="1" applyFont="1" applyBorder="1"/>
    <xf numFmtId="10" fontId="2" fillId="0" borderId="26" xfId="0" applyNumberFormat="1" applyFont="1" applyBorder="1"/>
    <xf numFmtId="10" fontId="2" fillId="0" borderId="25" xfId="0" applyNumberFormat="1" applyFont="1" applyBorder="1"/>
    <xf numFmtId="10" fontId="2" fillId="0" borderId="6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4" xfId="0" applyFont="1" applyBorder="1"/>
    <xf numFmtId="0" fontId="7" fillId="0" borderId="5" xfId="0" applyFont="1" applyBorder="1"/>
    <xf numFmtId="0" fontId="2" fillId="0" borderId="8" xfId="0" applyFont="1" applyFill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9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1" xfId="0" applyFon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/>
    <xf numFmtId="0" fontId="1" fillId="0" borderId="13" xfId="0" applyFont="1" applyBorder="1"/>
    <xf numFmtId="0" fontId="1" fillId="0" borderId="14" xfId="0" applyFont="1" applyBorder="1"/>
    <xf numFmtId="10" fontId="1" fillId="0" borderId="10" xfId="0" applyNumberFormat="1" applyFont="1" applyBorder="1"/>
    <xf numFmtId="0" fontId="1" fillId="0" borderId="30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104775</xdr:colOff>
      <xdr:row>10</xdr:row>
      <xdr:rowOff>57150</xdr:rowOff>
    </xdr:from>
    <xdr:ext cx="2250873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/>
            <xdr:cNvSpPr txBox="1"/>
          </xdr:nvSpPr>
          <xdr:spPr>
            <a:xfrm>
              <a:off x="12582525" y="1857375"/>
              <a:ext cx="225087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fr-FR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F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F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F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func>
                              <m:funcPr>
                                <m:ctrlP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fr-FR" sz="11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  <m:t>𝜋</m:t>
                                    </m:r>
                                    <m:sSub>
                                      <m:sSubPr>
                                        <m:ctrlP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  <m:sSub>
                                      <m:sSubPr>
                                        <m:ctrlP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𝜙</m:t>
                                        </m:r>
                                      </m:e>
                                      <m:sub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func>
                          </m:e>
                        </m:nary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d>
                    <m:r>
                      <a:rPr lang="fr-FR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𝑎𝑡</m:t>
                        </m:r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</m:d>
                    <m:sSub>
                      <m:sSub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/>
          </xdr:nvSpPr>
          <xdr:spPr>
            <a:xfrm>
              <a:off x="12582525" y="1857375"/>
              <a:ext cx="225087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(∑24_(𝑖=1)^𝑛▒〖𝐴_𝑖  sin⁡(2𝜋𝑓_𝑖+𝜙_𝑖 ) 〗  )+(𝑎𝑡+𝑏) 𝑙_𝑐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14</xdr:col>
      <xdr:colOff>66675</xdr:colOff>
      <xdr:row>17</xdr:row>
      <xdr:rowOff>66675</xdr:rowOff>
    </xdr:from>
    <xdr:ext cx="1088951" cy="403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/>
            <xdr:cNvSpPr txBox="1"/>
          </xdr:nvSpPr>
          <xdr:spPr>
            <a:xfrm>
              <a:off x="11096625" y="3228975"/>
              <a:ext cx="1088951" cy="403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begChr m:val="‖"/>
                                <m:endChr m:val="‖"/>
                                <m:ctrlPr>
                                  <a:rPr lang="fr-F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𝜖</m:t>
                                    </m:r>
                                  </m:e>
                                  <m:sub>
                                    <m: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sub>
                                </m:sSub>
                              </m:e>
                            </m:d>
                          </m:e>
                          <m:sub>
                            <m: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begChr m:val="‖"/>
                                <m:endChr m:val="‖"/>
                                <m:ctrlPr>
                                  <a:rPr lang="fr-F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̂"/>
                                    <m:ctrlP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</m:acc>
                                <m: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fr-F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</m:d>
                          </m:e>
                          <m:sub>
                            <m: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096625" y="3228975"/>
              <a:ext cx="1088951" cy="403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𝑓=1−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‖𝜖_𝑝 ‖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_2/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‖𝑦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̂</a:t>
              </a:r>
              <a:r>
                <a:rPr lang="fr-FR" sz="1100" b="0" i="0">
                  <a:latin typeface="Cambria Math" panose="02040503050406030204" pitchFamily="18" charset="0"/>
                </a:rPr>
                <a:t>−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𝑦‖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_2 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12</xdr:col>
      <xdr:colOff>428625</xdr:colOff>
      <xdr:row>19</xdr:row>
      <xdr:rowOff>180975</xdr:rowOff>
    </xdr:from>
    <xdr:ext cx="16946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/>
            <xdr:cNvSpPr txBox="1"/>
          </xdr:nvSpPr>
          <xdr:spPr>
            <a:xfrm>
              <a:off x="10239375" y="3724275"/>
              <a:ext cx="16946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4" name="ZoneTexte 3"/>
            <xdr:cNvSpPr txBox="1"/>
          </xdr:nvSpPr>
          <xdr:spPr>
            <a:xfrm>
              <a:off x="10239375" y="3724275"/>
              <a:ext cx="16946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𝜖_𝑝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12</xdr:col>
      <xdr:colOff>457200</xdr:colOff>
      <xdr:row>20</xdr:row>
      <xdr:rowOff>180975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/>
            <xdr:cNvSpPr txBox="1"/>
          </xdr:nvSpPr>
          <xdr:spPr>
            <a:xfrm>
              <a:off x="10267950" y="392430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5" name="ZoneTexte 4"/>
            <xdr:cNvSpPr txBox="1"/>
          </xdr:nvSpPr>
          <xdr:spPr>
            <a:xfrm>
              <a:off x="10267950" y="392430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b="0" i="0">
                  <a:latin typeface="Cambria Math" panose="02040503050406030204" pitchFamily="18" charset="0"/>
                </a:rPr>
                <a:t>𝑦</a:t>
              </a:r>
              <a:endParaRPr lang="fr-FR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104775</xdr:colOff>
      <xdr:row>10</xdr:row>
      <xdr:rowOff>57150</xdr:rowOff>
    </xdr:from>
    <xdr:ext cx="2250873" cy="462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/>
            <xdr:cNvSpPr txBox="1"/>
          </xdr:nvSpPr>
          <xdr:spPr>
            <a:xfrm>
              <a:off x="9915525" y="2057400"/>
              <a:ext cx="225087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fr-FR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fr-F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fr-F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fr-F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b>
                              <m:sSubPr>
                                <m:ctrlP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func>
                              <m:funcPr>
                                <m:ctrlP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fr-FR" sz="1100" b="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  <m:t>𝜋</m:t>
                                    </m:r>
                                    <m:sSub>
                                      <m:sSubPr>
                                        <m:ctrlP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fr-FR" sz="1100" b="0" i="1">
                                        <a:latin typeface="Cambria Math" panose="02040503050406030204" pitchFamily="18" charset="0"/>
                                      </a:rPr>
                                      <m:t>+</m:t>
                                    </m:r>
                                    <m:sSub>
                                      <m:sSubPr>
                                        <m:ctrlP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𝜙</m:t>
                                        </m:r>
                                      </m:e>
                                      <m:sub>
                                        <m:r>
                                          <a:rPr lang="fr-FR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func>
                          </m:e>
                        </m:nary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d>
                    <m:r>
                      <a:rPr lang="fr-FR" sz="1100" b="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𝑎𝑡</m:t>
                        </m:r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</m:d>
                    <m:sSub>
                      <m:sSub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/>
          </xdr:nvSpPr>
          <xdr:spPr>
            <a:xfrm>
              <a:off x="9915525" y="2057400"/>
              <a:ext cx="2250873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latin typeface="Cambria Math" panose="02040503050406030204" pitchFamily="18" charset="0"/>
                </a:rPr>
                <a:t>(∑_(𝑖=1)^𝑛▒〖𝐴_𝑖  sin⁡(2𝜋𝑓_𝑖+𝜙_𝑖 ) 〗  )+(𝑎𝑡+𝑏) 𝑙_𝑐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30</xdr:col>
      <xdr:colOff>66675</xdr:colOff>
      <xdr:row>17</xdr:row>
      <xdr:rowOff>66675</xdr:rowOff>
    </xdr:from>
    <xdr:ext cx="1088951" cy="403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/>
            <xdr:cNvSpPr txBox="1"/>
          </xdr:nvSpPr>
          <xdr:spPr>
            <a:xfrm>
              <a:off x="11096625" y="3429000"/>
              <a:ext cx="1088951" cy="403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begChr m:val="‖"/>
                                <m:endChr m:val="‖"/>
                                <m:ctrlPr>
                                  <a:rPr lang="fr-F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𝜖</m:t>
                                    </m:r>
                                  </m:e>
                                  <m:sub>
                                    <m: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sub>
                                </m:sSub>
                              </m:e>
                            </m:d>
                          </m:e>
                          <m:sub>
                            <m: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begChr m:val="‖"/>
                                <m:endChr m:val="‖"/>
                                <m:ctrlPr>
                                  <a:rPr lang="fr-F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̂"/>
                                    <m:ctrlP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fr-FR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</m:acc>
                                <m:r>
                                  <a:rPr lang="fr-FR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fr-F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</m:d>
                          </m:e>
                          <m:sub>
                            <m:r>
                              <a:rPr lang="fr-F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096625" y="3429000"/>
              <a:ext cx="1088951" cy="403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latin typeface="Cambria Math" panose="02040503050406030204" pitchFamily="18" charset="0"/>
                </a:rPr>
                <a:t>𝑓=1−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‖𝜖_𝑝 ‖_2/‖𝑦 ̂</a:t>
              </a:r>
              <a:r>
                <a:rPr lang="fr-FR" sz="1100" b="0" i="0">
                  <a:latin typeface="Cambria Math" panose="02040503050406030204" pitchFamily="18" charset="0"/>
                </a:rPr>
                <a:t>−</a:t>
              </a:r>
              <a:r>
                <a:rPr lang="fr-F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𝑦‖_2 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28</xdr:col>
      <xdr:colOff>428625</xdr:colOff>
      <xdr:row>19</xdr:row>
      <xdr:rowOff>180975</xdr:rowOff>
    </xdr:from>
    <xdr:ext cx="169469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/>
            <xdr:cNvSpPr txBox="1"/>
          </xdr:nvSpPr>
          <xdr:spPr>
            <a:xfrm>
              <a:off x="10239375" y="3924300"/>
              <a:ext cx="16946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4" name="ZoneTexte 3"/>
            <xdr:cNvSpPr txBox="1"/>
          </xdr:nvSpPr>
          <xdr:spPr>
            <a:xfrm>
              <a:off x="10239375" y="3924300"/>
              <a:ext cx="169469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latin typeface="Cambria Math" panose="02040503050406030204" pitchFamily="18" charset="0"/>
                </a:rPr>
                <a:t>𝜖_𝑝</a:t>
              </a:r>
              <a:endParaRPr lang="fr-FR" sz="1100"/>
            </a:p>
          </xdr:txBody>
        </xdr:sp>
      </mc:Fallback>
    </mc:AlternateContent>
    <xdr:clientData/>
  </xdr:oneCellAnchor>
  <xdr:oneCellAnchor>
    <xdr:from>
      <xdr:col>28</xdr:col>
      <xdr:colOff>457200</xdr:colOff>
      <xdr:row>20</xdr:row>
      <xdr:rowOff>180975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/>
            <xdr:cNvSpPr txBox="1"/>
          </xdr:nvSpPr>
          <xdr:spPr>
            <a:xfrm>
              <a:off x="10267950" y="412432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5" name="ZoneTexte 4"/>
            <xdr:cNvSpPr txBox="1"/>
          </xdr:nvSpPr>
          <xdr:spPr>
            <a:xfrm>
              <a:off x="10267950" y="412432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100" b="0" i="0">
                  <a:latin typeface="Cambria Math" panose="02040503050406030204" pitchFamily="18" charset="0"/>
                </a:rPr>
                <a:t>𝑦</a:t>
              </a:r>
              <a:endParaRPr lang="fr-F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8"/>
  <sheetViews>
    <sheetView workbookViewId="0">
      <selection activeCell="I8" sqref="I8"/>
    </sheetView>
  </sheetViews>
  <sheetFormatPr baseColWidth="10" defaultColWidth="9.140625" defaultRowHeight="15"/>
  <cols>
    <col min="2" max="2" width="14" customWidth="1"/>
    <col min="3" max="3" width="14.85546875" customWidth="1"/>
    <col min="4" max="11" width="10" customWidth="1"/>
  </cols>
  <sheetData>
    <row r="1" spans="2:16" ht="18.75">
      <c r="C1" s="120" t="s">
        <v>12</v>
      </c>
      <c r="D1" s="120"/>
      <c r="E1" s="120"/>
      <c r="F1" s="120"/>
      <c r="G1" s="120"/>
      <c r="H1" s="120"/>
      <c r="I1" s="120"/>
      <c r="J1" s="120"/>
      <c r="K1" s="120"/>
      <c r="L1" s="120"/>
    </row>
    <row r="2" spans="2:16" ht="15.75" thickBot="1"/>
    <row r="3" spans="2:16" ht="15.75" thickBot="1">
      <c r="C3" s="2"/>
      <c r="D3" s="116" t="s">
        <v>23</v>
      </c>
      <c r="E3" s="117"/>
      <c r="F3" s="117"/>
      <c r="G3" s="117"/>
      <c r="H3" s="117"/>
      <c r="I3" s="117"/>
      <c r="J3" s="117"/>
      <c r="K3" s="118"/>
      <c r="M3" s="1" t="s">
        <v>14</v>
      </c>
    </row>
    <row r="4" spans="2:16" ht="15.75" thickBot="1">
      <c r="C4" s="2"/>
      <c r="D4" s="122">
        <v>9</v>
      </c>
      <c r="E4" s="123"/>
      <c r="F4" s="124">
        <v>10</v>
      </c>
      <c r="G4" s="125"/>
      <c r="H4" s="124">
        <v>11</v>
      </c>
      <c r="I4" s="125"/>
      <c r="J4" s="124">
        <v>12</v>
      </c>
      <c r="K4" s="126"/>
      <c r="M4" s="1"/>
    </row>
    <row r="5" spans="2:16" ht="15.75" thickBot="1">
      <c r="B5" s="27" t="s">
        <v>13</v>
      </c>
      <c r="C5" s="3" t="s">
        <v>0</v>
      </c>
      <c r="D5" s="54" t="s">
        <v>40</v>
      </c>
      <c r="E5" s="55" t="s">
        <v>41</v>
      </c>
      <c r="F5" s="56" t="s">
        <v>40</v>
      </c>
      <c r="G5" s="57" t="s">
        <v>41</v>
      </c>
      <c r="H5" s="56" t="s">
        <v>40</v>
      </c>
      <c r="I5" s="57" t="s">
        <v>41</v>
      </c>
      <c r="J5" s="56" t="s">
        <v>40</v>
      </c>
      <c r="K5" s="58" t="s">
        <v>41</v>
      </c>
      <c r="N5" s="1"/>
    </row>
    <row r="6" spans="2:16">
      <c r="B6" s="119" t="s">
        <v>11</v>
      </c>
      <c r="C6" s="4" t="s">
        <v>30</v>
      </c>
      <c r="D6" s="8">
        <v>0.69765241080014684</v>
      </c>
      <c r="E6" s="9">
        <v>0.19219350178153302</v>
      </c>
      <c r="F6" s="15">
        <v>0.70449993508368847</v>
      </c>
      <c r="G6" s="28">
        <v>0.18364110589485369</v>
      </c>
      <c r="H6" s="15">
        <v>0.705788544952206</v>
      </c>
      <c r="I6" s="28">
        <v>0.17718256750837721</v>
      </c>
      <c r="J6" s="15">
        <v>0.65998421303748778</v>
      </c>
      <c r="K6" s="59">
        <v>0.22800758527488424</v>
      </c>
      <c r="M6" s="1" t="s">
        <v>15</v>
      </c>
    </row>
    <row r="7" spans="2:16">
      <c r="B7" s="113"/>
      <c r="C7" s="4" t="s">
        <v>38</v>
      </c>
      <c r="D7" s="8">
        <v>0.80025050319913582</v>
      </c>
      <c r="E7" s="9">
        <v>6.3377976124806792E-2</v>
      </c>
      <c r="F7" s="15">
        <v>0.81362169826466968</v>
      </c>
      <c r="G7" s="28">
        <v>5.3641853392572457E-2</v>
      </c>
      <c r="H7" s="15">
        <v>0.81678974974407037</v>
      </c>
      <c r="I7" s="28">
        <v>5.9728659827904929E-2</v>
      </c>
      <c r="J7" s="15">
        <v>0.82431878909600154</v>
      </c>
      <c r="K7" s="59">
        <v>4.9510844517572358E-2</v>
      </c>
      <c r="M7" s="1" t="s">
        <v>16</v>
      </c>
      <c r="N7" s="1" t="s">
        <v>17</v>
      </c>
    </row>
    <row r="8" spans="2:16" ht="15.75" thickBot="1">
      <c r="B8" s="113"/>
      <c r="C8" s="4" t="s">
        <v>31</v>
      </c>
      <c r="D8" s="21">
        <v>0.68461466072205457</v>
      </c>
      <c r="E8" s="23">
        <v>0.17160669933272527</v>
      </c>
      <c r="F8" s="32">
        <v>0.69608985086580544</v>
      </c>
      <c r="G8" s="33">
        <v>0.16879255077853886</v>
      </c>
      <c r="H8" s="32">
        <v>0.70269735135560041</v>
      </c>
      <c r="I8" s="33">
        <v>0.1753373825359282</v>
      </c>
      <c r="J8" s="32">
        <v>0.70487652021799929</v>
      </c>
      <c r="K8" s="60">
        <v>0.18264706335229425</v>
      </c>
      <c r="M8" s="1" t="s">
        <v>18</v>
      </c>
    </row>
    <row r="9" spans="2:16">
      <c r="B9" s="114" t="s">
        <v>1</v>
      </c>
      <c r="C9" s="5" t="s">
        <v>30</v>
      </c>
      <c r="D9" s="8">
        <v>0.47714948673846613</v>
      </c>
      <c r="E9" s="9">
        <v>0.29758603643466824</v>
      </c>
      <c r="F9" s="13">
        <v>0.46018320586253975</v>
      </c>
      <c r="G9" s="9">
        <v>0.35443825123272366</v>
      </c>
      <c r="H9" s="13">
        <v>0.46892778124230844</v>
      </c>
      <c r="I9" s="9">
        <v>0.2747211743505833</v>
      </c>
      <c r="J9" s="13">
        <v>0.44495622432789195</v>
      </c>
      <c r="K9" s="10">
        <v>0.36856613534288096</v>
      </c>
      <c r="M9" s="1" t="s">
        <v>19</v>
      </c>
    </row>
    <row r="10" spans="2:16">
      <c r="B10" s="113"/>
      <c r="C10" s="4" t="s">
        <v>38</v>
      </c>
      <c r="D10" s="8">
        <v>0.74137851750755279</v>
      </c>
      <c r="E10" s="9">
        <v>0.14406626519486923</v>
      </c>
      <c r="F10" s="13">
        <v>0.6840276054134915</v>
      </c>
      <c r="G10" s="9">
        <v>0.23754812997998856</v>
      </c>
      <c r="H10" s="13">
        <v>0.80741550671609819</v>
      </c>
      <c r="I10" s="9">
        <v>0.10223443612830146</v>
      </c>
      <c r="J10" s="13">
        <v>0.7291734536302833</v>
      </c>
      <c r="K10" s="10">
        <v>0.19816125385748229</v>
      </c>
    </row>
    <row r="11" spans="2:16" ht="15.75" thickBot="1">
      <c r="B11" s="115"/>
      <c r="C11" s="6" t="s">
        <v>31</v>
      </c>
      <c r="D11" s="21">
        <v>0.53133524246266162</v>
      </c>
      <c r="E11" s="23">
        <v>0.27879163575566707</v>
      </c>
      <c r="F11" s="22">
        <v>0.50720836891558763</v>
      </c>
      <c r="G11" s="23">
        <v>0.29716428987128279</v>
      </c>
      <c r="H11" s="22">
        <v>0.56080433415279718</v>
      </c>
      <c r="I11" s="23">
        <v>0.28522354790569532</v>
      </c>
      <c r="J11" s="22">
        <v>0.49035276553501511</v>
      </c>
      <c r="K11" s="24">
        <v>0.32006833681275804</v>
      </c>
      <c r="M11" s="121"/>
      <c r="N11" s="121"/>
      <c r="O11" s="121"/>
      <c r="P11" s="121"/>
    </row>
    <row r="12" spans="2:16">
      <c r="B12" s="113" t="s">
        <v>2</v>
      </c>
      <c r="C12" s="4" t="s">
        <v>30</v>
      </c>
      <c r="D12" s="8">
        <v>0.38049451485838698</v>
      </c>
      <c r="E12" s="9">
        <v>0.41775331796833792</v>
      </c>
      <c r="F12" s="13">
        <v>0.472593247730342</v>
      </c>
      <c r="G12" s="9">
        <v>0.37087376481880929</v>
      </c>
      <c r="H12" s="13">
        <v>0.30643556615899969</v>
      </c>
      <c r="I12" s="9">
        <v>0.54601436201848785</v>
      </c>
      <c r="J12" s="13">
        <v>0.46114192551482525</v>
      </c>
      <c r="K12" s="10">
        <v>0.38247644674392495</v>
      </c>
      <c r="M12" s="121"/>
      <c r="N12" s="121"/>
      <c r="O12" s="121"/>
      <c r="P12" s="121"/>
    </row>
    <row r="13" spans="2:16">
      <c r="B13" s="113"/>
      <c r="C13" s="4" t="s">
        <v>38</v>
      </c>
      <c r="D13" s="8">
        <v>0.62662010022340564</v>
      </c>
      <c r="E13" s="9">
        <v>0.24375103413863411</v>
      </c>
      <c r="F13" s="13">
        <v>0.68983522033253009</v>
      </c>
      <c r="G13" s="9">
        <v>0.1897224901048242</v>
      </c>
      <c r="H13" s="13">
        <v>0.75284215163212576</v>
      </c>
      <c r="I13" s="9">
        <v>0.1601769114334044</v>
      </c>
      <c r="J13" s="13">
        <v>0.36987836655312561</v>
      </c>
      <c r="K13" s="10">
        <v>0.48640684259947037</v>
      </c>
      <c r="M13" s="121"/>
      <c r="N13" s="121"/>
      <c r="O13" s="121"/>
      <c r="P13" s="121"/>
    </row>
    <row r="14" spans="2:16" ht="15.75" thickBot="1">
      <c r="B14" s="113"/>
      <c r="C14" s="4" t="s">
        <v>31</v>
      </c>
      <c r="D14" s="21">
        <v>0.49284628649208129</v>
      </c>
      <c r="E14" s="23">
        <v>0.31219730211536206</v>
      </c>
      <c r="F14" s="22">
        <v>0.46558851936716028</v>
      </c>
      <c r="G14" s="23">
        <v>0.32696525308444901</v>
      </c>
      <c r="H14" s="22">
        <v>0.40728412017354604</v>
      </c>
      <c r="I14" s="23">
        <v>0.40058117291858347</v>
      </c>
      <c r="J14" s="22">
        <v>0.42115207526264847</v>
      </c>
      <c r="K14" s="24">
        <v>0.35742119120137428</v>
      </c>
      <c r="M14" s="1" t="s">
        <v>20</v>
      </c>
    </row>
    <row r="15" spans="2:16">
      <c r="B15" s="114" t="s">
        <v>3</v>
      </c>
      <c r="C15" s="5" t="s">
        <v>30</v>
      </c>
      <c r="D15" s="8">
        <v>0.4643247683464381</v>
      </c>
      <c r="E15" s="9">
        <v>0.32057117603243257</v>
      </c>
      <c r="F15" s="13">
        <v>0.41362818110659205</v>
      </c>
      <c r="G15" s="9">
        <v>0.40356560120582075</v>
      </c>
      <c r="H15" s="13">
        <v>0.27819824691283163</v>
      </c>
      <c r="I15" s="9">
        <v>0.51101793826170183</v>
      </c>
      <c r="J15" s="13">
        <v>0.32271634260482596</v>
      </c>
      <c r="K15" s="10">
        <v>0.52596338384133445</v>
      </c>
      <c r="M15" s="1" t="s">
        <v>21</v>
      </c>
    </row>
    <row r="16" spans="2:16">
      <c r="B16" s="113"/>
      <c r="C16" s="4" t="s">
        <v>38</v>
      </c>
      <c r="D16" s="8">
        <v>0.64012558683411935</v>
      </c>
      <c r="E16" s="9">
        <v>0.20526878552905004</v>
      </c>
      <c r="F16" s="13">
        <v>0.69251185371142632</v>
      </c>
      <c r="G16" s="9">
        <v>0.17821507882283083</v>
      </c>
      <c r="H16" s="13">
        <v>0.54445432513281011</v>
      </c>
      <c r="I16" s="9">
        <v>0.34425761517396553</v>
      </c>
      <c r="J16" s="13">
        <v>0.52291840935686207</v>
      </c>
      <c r="K16" s="10">
        <v>0.34602574758533355</v>
      </c>
      <c r="M16" s="1" t="s">
        <v>22</v>
      </c>
    </row>
    <row r="17" spans="2:18" ht="15.75" thickBot="1">
      <c r="B17" s="115"/>
      <c r="C17" s="6" t="s">
        <v>31</v>
      </c>
      <c r="D17" s="21">
        <v>0.42105243059604125</v>
      </c>
      <c r="E17" s="23">
        <v>0.33402513575698328</v>
      </c>
      <c r="F17" s="22">
        <v>0.46826915888748777</v>
      </c>
      <c r="G17" s="23">
        <v>0.35011276392079782</v>
      </c>
      <c r="H17" s="22">
        <v>0.42925672109214308</v>
      </c>
      <c r="I17" s="23">
        <v>0.36348194424803182</v>
      </c>
      <c r="J17" s="22">
        <v>0.476547290827388</v>
      </c>
      <c r="K17" s="24">
        <v>0.32418630357191619</v>
      </c>
    </row>
    <row r="18" spans="2:18">
      <c r="B18" s="113" t="s">
        <v>4</v>
      </c>
      <c r="C18" s="4" t="s">
        <v>30</v>
      </c>
      <c r="D18" s="8">
        <v>0.59088028752755795</v>
      </c>
      <c r="E18" s="9">
        <v>0.26940907618702314</v>
      </c>
      <c r="F18" s="13">
        <v>0.56413750867291079</v>
      </c>
      <c r="G18" s="9">
        <v>0.29907510273305854</v>
      </c>
      <c r="H18" s="13">
        <v>0.57395780001223295</v>
      </c>
      <c r="I18" s="9">
        <v>0.29749472136968869</v>
      </c>
      <c r="J18" s="13">
        <v>0.56008922342024559</v>
      </c>
      <c r="K18" s="10">
        <v>0.29875350965726766</v>
      </c>
      <c r="O18" s="121"/>
      <c r="P18" s="121"/>
    </row>
    <row r="19" spans="2:18">
      <c r="B19" s="113"/>
      <c r="C19" s="4" t="s">
        <v>38</v>
      </c>
      <c r="D19" s="8">
        <v>0.77036903487420061</v>
      </c>
      <c r="E19" s="9">
        <v>7.8333281232913221E-2</v>
      </c>
      <c r="F19" s="13">
        <v>0.71187681719072893</v>
      </c>
      <c r="G19" s="9">
        <v>0.16657497633242349</v>
      </c>
      <c r="H19" s="13">
        <v>0.78063467164288469</v>
      </c>
      <c r="I19" s="9">
        <v>8.8382659536226635E-2</v>
      </c>
      <c r="J19" s="13">
        <v>0.73073178044251552</v>
      </c>
      <c r="K19" s="10">
        <v>0.14745337949434759</v>
      </c>
      <c r="M19" s="1" t="s">
        <v>24</v>
      </c>
      <c r="O19" s="121"/>
      <c r="P19" s="121"/>
    </row>
    <row r="20" spans="2:18" ht="15.75" thickBot="1">
      <c r="B20" s="113"/>
      <c r="C20" s="4" t="s">
        <v>31</v>
      </c>
      <c r="D20" s="21">
        <v>0.57329110050024035</v>
      </c>
      <c r="E20" s="23">
        <v>0.22949707652303628</v>
      </c>
      <c r="F20" s="22">
        <v>0.52495265807269809</v>
      </c>
      <c r="G20" s="23">
        <v>0.28824288746697985</v>
      </c>
      <c r="H20" s="22">
        <v>0.57657605821645208</v>
      </c>
      <c r="I20" s="23">
        <v>0.25119778907366724</v>
      </c>
      <c r="J20" s="22">
        <v>0.50089239985973477</v>
      </c>
      <c r="K20" s="24">
        <v>0.34937959531141571</v>
      </c>
      <c r="O20" s="121"/>
      <c r="P20" s="121"/>
    </row>
    <row r="21" spans="2:18">
      <c r="B21" s="114" t="s">
        <v>5</v>
      </c>
      <c r="C21" s="5" t="s">
        <v>30</v>
      </c>
      <c r="D21" s="8">
        <v>0.57647378756729839</v>
      </c>
      <c r="E21" s="9">
        <v>0.29491101061342967</v>
      </c>
      <c r="F21" s="13">
        <v>0.58521583729810855</v>
      </c>
      <c r="G21" s="9">
        <v>0.31316807236456806</v>
      </c>
      <c r="H21" s="13">
        <v>0.53206913326731797</v>
      </c>
      <c r="I21" s="9">
        <v>0.28222161009607616</v>
      </c>
      <c r="J21" s="13">
        <v>0.53840022106567409</v>
      </c>
      <c r="K21" s="10">
        <v>0.33164127594013243</v>
      </c>
      <c r="N21" s="1" t="s">
        <v>25</v>
      </c>
    </row>
    <row r="22" spans="2:18">
      <c r="B22" s="113"/>
      <c r="C22" s="4" t="s">
        <v>38</v>
      </c>
      <c r="D22" s="8">
        <v>0.78350541183076494</v>
      </c>
      <c r="E22" s="9">
        <v>7.9153363016078698E-2</v>
      </c>
      <c r="F22" s="13">
        <v>0.7700721695147108</v>
      </c>
      <c r="G22" s="9">
        <v>0.12103516339808175</v>
      </c>
      <c r="H22" s="13">
        <v>0.79382246887866814</v>
      </c>
      <c r="I22" s="9">
        <v>8.4861011861273414E-2</v>
      </c>
      <c r="J22" s="13">
        <v>0.79410752036778864</v>
      </c>
      <c r="K22" s="10">
        <v>8.6837257069655449E-2</v>
      </c>
      <c r="N22" s="1" t="s">
        <v>26</v>
      </c>
    </row>
    <row r="23" spans="2:18" ht="15.75" thickBot="1">
      <c r="B23" s="115"/>
      <c r="C23" s="6" t="s">
        <v>31</v>
      </c>
      <c r="D23" s="21">
        <v>0.54938262062003873</v>
      </c>
      <c r="E23" s="23">
        <v>0.2916971031381253</v>
      </c>
      <c r="F23" s="22">
        <v>0.50715502401731449</v>
      </c>
      <c r="G23" s="23">
        <v>0.29409311470597937</v>
      </c>
      <c r="H23" s="22">
        <v>0.59967060445322484</v>
      </c>
      <c r="I23" s="23">
        <v>0.24971545754043081</v>
      </c>
      <c r="J23" s="22">
        <v>0.57262716882465303</v>
      </c>
      <c r="K23" s="24">
        <v>0.28120555971746009</v>
      </c>
    </row>
    <row r="24" spans="2:18" ht="15.75" thickBot="1">
      <c r="B24" s="113" t="s">
        <v>6</v>
      </c>
      <c r="C24" s="4" t="s">
        <v>30</v>
      </c>
      <c r="D24" s="8">
        <v>0.53715187347651394</v>
      </c>
      <c r="E24" s="9">
        <v>0.28627654035964933</v>
      </c>
      <c r="F24" s="13">
        <v>0.5290492305857748</v>
      </c>
      <c r="G24" s="9">
        <v>0.30712807457061897</v>
      </c>
      <c r="H24" s="13">
        <v>0.52954272749612641</v>
      </c>
      <c r="I24" s="9">
        <v>0.32247838733669987</v>
      </c>
      <c r="J24" s="13">
        <v>0.39395217274962746</v>
      </c>
      <c r="K24" s="10">
        <v>0.45181830711668985</v>
      </c>
      <c r="M24" s="1" t="s">
        <v>39</v>
      </c>
    </row>
    <row r="25" spans="2:18">
      <c r="B25" s="113"/>
      <c r="C25" s="4" t="s">
        <v>38</v>
      </c>
      <c r="D25" s="8">
        <v>0.76043164047619416</v>
      </c>
      <c r="E25" s="9">
        <v>0.10614498610481529</v>
      </c>
      <c r="F25" s="13">
        <v>0.76056823626072068</v>
      </c>
      <c r="G25" s="9">
        <v>0.13352018805307175</v>
      </c>
      <c r="H25" s="13">
        <v>0.76276431779415754</v>
      </c>
      <c r="I25" s="9">
        <v>0.12940615415244761</v>
      </c>
      <c r="J25" s="13">
        <v>0.7358131162766558</v>
      </c>
      <c r="K25" s="10">
        <v>0.1807074715407527</v>
      </c>
      <c r="M25" s="39" t="s">
        <v>23</v>
      </c>
      <c r="N25" s="63">
        <v>9</v>
      </c>
      <c r="O25" s="34">
        <v>10</v>
      </c>
      <c r="P25" s="34">
        <v>11</v>
      </c>
      <c r="Q25" s="7">
        <v>12</v>
      </c>
      <c r="R25" s="2"/>
    </row>
    <row r="26" spans="2:18" ht="15.75" thickBot="1">
      <c r="B26" s="113"/>
      <c r="C26" s="4" t="s">
        <v>31</v>
      </c>
      <c r="D26" s="21">
        <v>0.59864738143252105</v>
      </c>
      <c r="E26" s="23">
        <v>0.2297228799611149</v>
      </c>
      <c r="F26" s="22">
        <v>0.57817332478548478</v>
      </c>
      <c r="G26" s="23">
        <v>0.25805189383823957</v>
      </c>
      <c r="H26" s="22">
        <v>0.54317552352968612</v>
      </c>
      <c r="I26" s="23">
        <v>0.29445252293533614</v>
      </c>
      <c r="J26" s="22">
        <v>0.52819410092553276</v>
      </c>
      <c r="K26" s="24">
        <v>0.32716147025500175</v>
      </c>
      <c r="M26" s="38" t="s">
        <v>27</v>
      </c>
      <c r="N26" s="64">
        <f>CORREL(D6:D38,E6:E38)</f>
        <v>-0.97302730751419653</v>
      </c>
      <c r="O26" s="35">
        <f>CORREL(F6:F38,G6:G38)</f>
        <v>-0.97515099027075935</v>
      </c>
      <c r="P26" s="35">
        <f>CORREL(H6:H38,I6:I38)</f>
        <v>-0.97903823140047797</v>
      </c>
      <c r="Q26" s="36">
        <f>CORREL(J6:J38,K6:K38)</f>
        <v>-0.98135804125109838</v>
      </c>
      <c r="R26" s="2"/>
    </row>
    <row r="27" spans="2:18">
      <c r="B27" s="114" t="s">
        <v>7</v>
      </c>
      <c r="C27" s="5" t="s">
        <v>30</v>
      </c>
      <c r="D27" s="8">
        <v>0.6670062493378538</v>
      </c>
      <c r="E27" s="9">
        <v>0.21414010436374908</v>
      </c>
      <c r="F27" s="13">
        <v>0.62970589741082916</v>
      </c>
      <c r="G27" s="9">
        <v>0.25896165026391849</v>
      </c>
      <c r="H27" s="13">
        <v>0.6785037918976119</v>
      </c>
      <c r="I27" s="9">
        <v>0.20830516886722064</v>
      </c>
      <c r="J27" s="13">
        <v>0.64121609349790643</v>
      </c>
      <c r="K27" s="10">
        <v>0.24139199017995111</v>
      </c>
    </row>
    <row r="28" spans="2:18">
      <c r="B28" s="113"/>
      <c r="C28" s="4" t="s">
        <v>38</v>
      </c>
      <c r="D28" s="8">
        <v>0.79112590663312687</v>
      </c>
      <c r="E28" s="9">
        <v>6.8001138416970655E-2</v>
      </c>
      <c r="F28" s="13">
        <v>0.80034731472887188</v>
      </c>
      <c r="G28" s="9">
        <v>7.3813577048425352E-2</v>
      </c>
      <c r="H28" s="13">
        <v>0.82132263301257158</v>
      </c>
      <c r="I28" s="9">
        <v>5.7967256721468234E-2</v>
      </c>
      <c r="J28" s="13">
        <v>0.81923529497504655</v>
      </c>
      <c r="K28" s="10">
        <v>5.5914999533209407E-2</v>
      </c>
      <c r="M28" s="1" t="s">
        <v>28</v>
      </c>
    </row>
    <row r="29" spans="2:18" ht="15.75" thickBot="1">
      <c r="B29" s="115"/>
      <c r="C29" s="6" t="s">
        <v>31</v>
      </c>
      <c r="D29" s="21">
        <v>0.68529634714370591</v>
      </c>
      <c r="E29" s="23">
        <v>0.16226892395243236</v>
      </c>
      <c r="F29" s="22">
        <v>0.70294819552008736</v>
      </c>
      <c r="G29" s="23">
        <v>0.15410659519022224</v>
      </c>
      <c r="H29" s="22">
        <v>0.69465395350581172</v>
      </c>
      <c r="I29" s="23">
        <v>0.17034528152733117</v>
      </c>
      <c r="J29" s="22">
        <v>0.65754324381038454</v>
      </c>
      <c r="K29" s="24">
        <v>0.2331628234176002</v>
      </c>
    </row>
    <row r="30" spans="2:18" ht="15.75" thickBot="1">
      <c r="B30" s="113" t="s">
        <v>8</v>
      </c>
      <c r="C30" s="4" t="s">
        <v>30</v>
      </c>
      <c r="D30" s="8">
        <v>0.67800059076407182</v>
      </c>
      <c r="E30" s="9">
        <v>0.21639755975405489</v>
      </c>
      <c r="F30" s="13">
        <v>0.70023757497087391</v>
      </c>
      <c r="G30" s="9">
        <v>0.18550488285801933</v>
      </c>
      <c r="H30" s="13">
        <v>0.66253541969628948</v>
      </c>
      <c r="I30" s="9">
        <v>0.23024535842078087</v>
      </c>
      <c r="J30" s="13">
        <v>0.61098316808545572</v>
      </c>
      <c r="K30" s="10">
        <v>0.27774807712853622</v>
      </c>
      <c r="M30" s="36"/>
      <c r="N30" s="43" t="s">
        <v>29</v>
      </c>
      <c r="O30" s="44"/>
      <c r="P30" s="45"/>
      <c r="R30" t="s">
        <v>42</v>
      </c>
    </row>
    <row r="31" spans="2:18">
      <c r="B31" s="113"/>
      <c r="C31" s="4" t="s">
        <v>38</v>
      </c>
      <c r="D31" s="8">
        <v>0.80177186648221022</v>
      </c>
      <c r="E31" s="9">
        <v>6.9674853667750308E-2</v>
      </c>
      <c r="F31" s="13">
        <v>0.80952484254877322</v>
      </c>
      <c r="G31" s="9">
        <v>6.2133938980304629E-2</v>
      </c>
      <c r="H31" s="13">
        <v>0.81800440048654466</v>
      </c>
      <c r="I31" s="9">
        <v>6.3519085945495685E-2</v>
      </c>
      <c r="J31" s="13">
        <v>0.81928805763681534</v>
      </c>
      <c r="K31" s="10">
        <v>5.5471729100474848E-2</v>
      </c>
      <c r="M31" s="37" t="s">
        <v>30</v>
      </c>
      <c r="N31" s="2">
        <v>55</v>
      </c>
      <c r="O31" s="2"/>
      <c r="P31" s="40"/>
      <c r="R31" t="s">
        <v>43</v>
      </c>
    </row>
    <row r="32" spans="2:18" ht="15.75" thickBot="1">
      <c r="B32" s="113"/>
      <c r="C32" s="4" t="s">
        <v>31</v>
      </c>
      <c r="D32" s="21">
        <v>0.69409093757584661</v>
      </c>
      <c r="E32" s="23">
        <v>0.13465061058475372</v>
      </c>
      <c r="F32" s="22">
        <v>0.69326540917163593</v>
      </c>
      <c r="G32" s="23">
        <v>0.16266641983078656</v>
      </c>
      <c r="H32" s="22">
        <v>0.70949591072443841</v>
      </c>
      <c r="I32" s="23">
        <v>0.15204941354221047</v>
      </c>
      <c r="J32" s="22">
        <v>0.69369990549573313</v>
      </c>
      <c r="K32" s="24">
        <v>0.17662677280401234</v>
      </c>
      <c r="M32" s="41" t="s">
        <v>32</v>
      </c>
      <c r="N32" s="2">
        <v>48</v>
      </c>
      <c r="O32" s="2"/>
      <c r="P32" s="40"/>
      <c r="R32" t="s">
        <v>44</v>
      </c>
    </row>
    <row r="33" spans="2:16" ht="15.75" thickBot="1">
      <c r="B33" s="114" t="s">
        <v>9</v>
      </c>
      <c r="C33" s="5" t="s">
        <v>30</v>
      </c>
      <c r="D33" s="8">
        <v>0.48387179242325462</v>
      </c>
      <c r="E33" s="9">
        <v>0.30761165442814881</v>
      </c>
      <c r="F33" s="13">
        <v>0.55053769181873791</v>
      </c>
      <c r="G33" s="9">
        <v>0.2728235049715339</v>
      </c>
      <c r="H33" s="13">
        <v>0.52371048021781919</v>
      </c>
      <c r="I33" s="9">
        <v>0.32932732773529827</v>
      </c>
      <c r="J33" s="13">
        <v>0.47913077328025866</v>
      </c>
      <c r="K33" s="10">
        <v>0.33704802184672072</v>
      </c>
      <c r="M33" s="42" t="s">
        <v>31</v>
      </c>
      <c r="N33" s="35">
        <v>62</v>
      </c>
      <c r="O33" s="35"/>
      <c r="P33" s="36"/>
    </row>
    <row r="34" spans="2:16" ht="15.75" thickBot="1">
      <c r="B34" s="113"/>
      <c r="C34" s="4" t="s">
        <v>38</v>
      </c>
      <c r="D34" s="8">
        <v>0.79072476390465252</v>
      </c>
      <c r="E34" s="9">
        <v>6.268338958780327E-2</v>
      </c>
      <c r="F34" s="13">
        <v>0.79120801577143873</v>
      </c>
      <c r="G34" s="9">
        <v>7.6602533344555829E-2</v>
      </c>
      <c r="H34" s="13">
        <v>0.79239708955341259</v>
      </c>
      <c r="I34" s="9">
        <v>8.5634578116078441E-2</v>
      </c>
      <c r="J34" s="13">
        <v>0.801432655874037</v>
      </c>
      <c r="K34" s="10">
        <v>7.6514809084736263E-2</v>
      </c>
      <c r="M34" s="46" t="s">
        <v>33</v>
      </c>
      <c r="N34" s="44">
        <f>SUM(N31:N33)</f>
        <v>165</v>
      </c>
      <c r="O34" s="44"/>
      <c r="P34" s="45"/>
    </row>
    <row r="35" spans="2:16" ht="15.75" thickBot="1">
      <c r="B35" s="115"/>
      <c r="C35" s="6" t="s">
        <v>31</v>
      </c>
      <c r="D35" s="21">
        <v>0.67581000851123829</v>
      </c>
      <c r="E35" s="23">
        <v>0.16451778054659075</v>
      </c>
      <c r="F35" s="22">
        <v>0.7004842786448211</v>
      </c>
      <c r="G35" s="23">
        <v>0.14891102598451164</v>
      </c>
      <c r="H35" s="22">
        <v>0.64669252533816701</v>
      </c>
      <c r="I35" s="23">
        <v>0.22522970438176312</v>
      </c>
      <c r="J35" s="22">
        <v>0.68285661964375799</v>
      </c>
      <c r="K35" s="24">
        <v>0.15858725815410851</v>
      </c>
    </row>
    <row r="36" spans="2:16">
      <c r="B36" s="113" t="s">
        <v>10</v>
      </c>
      <c r="C36" s="4" t="s">
        <v>30</v>
      </c>
      <c r="D36" s="8">
        <v>0.70960200466971812</v>
      </c>
      <c r="E36" s="9">
        <v>0.17015530824422287</v>
      </c>
      <c r="F36" s="15">
        <v>0.63299836754710415</v>
      </c>
      <c r="G36" s="28">
        <v>0.24420431471148873</v>
      </c>
      <c r="H36" s="15">
        <v>0.61109268702178088</v>
      </c>
      <c r="I36" s="28">
        <v>0.2798818918819504</v>
      </c>
      <c r="J36" s="15">
        <v>0.5431744191835256</v>
      </c>
      <c r="K36" s="59">
        <v>0.34552198046580035</v>
      </c>
    </row>
    <row r="37" spans="2:16">
      <c r="B37" s="113"/>
      <c r="C37" s="4" t="s">
        <v>38</v>
      </c>
      <c r="D37" s="8">
        <v>0.80571920094799643</v>
      </c>
      <c r="E37" s="9">
        <v>5.4095218069935558E-2</v>
      </c>
      <c r="F37" s="15">
        <v>0.8105690835181022</v>
      </c>
      <c r="G37" s="28">
        <v>5.6543648099766981E-2</v>
      </c>
      <c r="H37" s="15">
        <v>0.82303487688974519</v>
      </c>
      <c r="I37" s="28">
        <v>5.1827839969287991E-2</v>
      </c>
      <c r="J37" s="15">
        <v>0.8244885271291057</v>
      </c>
      <c r="K37" s="59">
        <v>4.807993016984019E-2</v>
      </c>
    </row>
    <row r="38" spans="2:16" ht="15.75" thickBot="1">
      <c r="B38" s="115"/>
      <c r="C38" s="6" t="s">
        <v>31</v>
      </c>
      <c r="D38" s="11">
        <v>0.71147955114499983</v>
      </c>
      <c r="E38" s="12">
        <v>0.14341851900330502</v>
      </c>
      <c r="F38" s="16">
        <v>0.72369982198509297</v>
      </c>
      <c r="G38" s="29">
        <v>0.14727526675397676</v>
      </c>
      <c r="H38" s="16">
        <v>0.72488355647853175</v>
      </c>
      <c r="I38" s="29">
        <v>0.16119670809864833</v>
      </c>
      <c r="J38" s="16">
        <v>0.69984736485820564</v>
      </c>
      <c r="K38" s="49">
        <v>0.18916141696135969</v>
      </c>
    </row>
  </sheetData>
  <mergeCells count="19">
    <mergeCell ref="C1:L1"/>
    <mergeCell ref="M11:P13"/>
    <mergeCell ref="B24:B26"/>
    <mergeCell ref="B27:B29"/>
    <mergeCell ref="O18:P20"/>
    <mergeCell ref="D4:E4"/>
    <mergeCell ref="F4:G4"/>
    <mergeCell ref="H4:I4"/>
    <mergeCell ref="J4:K4"/>
    <mergeCell ref="B30:B32"/>
    <mergeCell ref="B33:B35"/>
    <mergeCell ref="B36:B38"/>
    <mergeCell ref="D3:K3"/>
    <mergeCell ref="B6:B8"/>
    <mergeCell ref="B9:B11"/>
    <mergeCell ref="B12:B14"/>
    <mergeCell ref="B15:B17"/>
    <mergeCell ref="B18:B20"/>
    <mergeCell ref="B21:B23"/>
  </mergeCells>
  <conditionalFormatting sqref="D6:D38 F6:F38 H6:H38 J6:J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38 G6:G38 I6:I38 K6:K3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91"/>
  <sheetViews>
    <sheetView topLeftCell="B4" workbookViewId="0">
      <selection activeCell="B6" sqref="B6:AA8"/>
    </sheetView>
  </sheetViews>
  <sheetFormatPr baseColWidth="10" defaultColWidth="9.140625" defaultRowHeight="15"/>
  <cols>
    <col min="2" max="3" width="14.28515625" customWidth="1"/>
    <col min="4" max="27" width="10" customWidth="1"/>
    <col min="28" max="28" width="2.42578125" customWidth="1"/>
  </cols>
  <sheetData>
    <row r="1" spans="2:32" ht="18.75">
      <c r="C1" s="120" t="s">
        <v>12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52"/>
      <c r="AB1" s="52"/>
    </row>
    <row r="2" spans="2:32" ht="15.75" thickBot="1"/>
    <row r="3" spans="2:32" ht="31.5" customHeight="1" thickBot="1">
      <c r="C3" s="2"/>
      <c r="D3" s="149" t="s">
        <v>23</v>
      </c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1"/>
      <c r="AC3" s="1" t="s">
        <v>14</v>
      </c>
    </row>
    <row r="4" spans="2:32" ht="16.5" thickBot="1">
      <c r="C4" s="2"/>
      <c r="D4" s="147">
        <v>5</v>
      </c>
      <c r="E4" s="144"/>
      <c r="F4" s="145">
        <v>6</v>
      </c>
      <c r="G4" s="144"/>
      <c r="H4" s="145">
        <v>7</v>
      </c>
      <c r="I4" s="144"/>
      <c r="J4" s="145">
        <v>8</v>
      </c>
      <c r="K4" s="148"/>
      <c r="L4" s="144">
        <v>9</v>
      </c>
      <c r="M4" s="144"/>
      <c r="N4" s="145">
        <v>10</v>
      </c>
      <c r="O4" s="144"/>
      <c r="P4" s="145">
        <v>11</v>
      </c>
      <c r="Q4" s="144"/>
      <c r="R4" s="145">
        <v>12</v>
      </c>
      <c r="S4" s="148"/>
      <c r="T4" s="144">
        <v>13</v>
      </c>
      <c r="U4" s="144"/>
      <c r="V4" s="145">
        <v>14</v>
      </c>
      <c r="W4" s="144"/>
      <c r="X4" s="145">
        <v>15</v>
      </c>
      <c r="Y4" s="146"/>
      <c r="Z4" s="152" t="s">
        <v>47</v>
      </c>
      <c r="AA4" s="153"/>
      <c r="AC4" s="1"/>
    </row>
    <row r="5" spans="2:32" ht="19.5" thickBot="1">
      <c r="B5" s="79" t="s">
        <v>13</v>
      </c>
      <c r="C5" s="80" t="s">
        <v>0</v>
      </c>
      <c r="D5" s="73" t="s">
        <v>40</v>
      </c>
      <c r="E5" s="74" t="s">
        <v>41</v>
      </c>
      <c r="F5" s="75" t="s">
        <v>40</v>
      </c>
      <c r="G5" s="74" t="s">
        <v>41</v>
      </c>
      <c r="H5" s="75" t="s">
        <v>40</v>
      </c>
      <c r="I5" s="74" t="s">
        <v>41</v>
      </c>
      <c r="J5" s="75" t="s">
        <v>40</v>
      </c>
      <c r="K5" s="76" t="s">
        <v>41</v>
      </c>
      <c r="L5" s="74" t="s">
        <v>40</v>
      </c>
      <c r="M5" s="74" t="s">
        <v>41</v>
      </c>
      <c r="N5" s="75" t="s">
        <v>40</v>
      </c>
      <c r="O5" s="74" t="s">
        <v>41</v>
      </c>
      <c r="P5" s="75" t="s">
        <v>40</v>
      </c>
      <c r="Q5" s="74" t="s">
        <v>41</v>
      </c>
      <c r="R5" s="75" t="s">
        <v>40</v>
      </c>
      <c r="S5" s="76" t="s">
        <v>41</v>
      </c>
      <c r="T5" s="74" t="s">
        <v>40</v>
      </c>
      <c r="U5" s="74" t="s">
        <v>41</v>
      </c>
      <c r="V5" s="75" t="s">
        <v>40</v>
      </c>
      <c r="W5" s="74" t="s">
        <v>41</v>
      </c>
      <c r="X5" s="75" t="s">
        <v>40</v>
      </c>
      <c r="Y5" s="77" t="s">
        <v>41</v>
      </c>
      <c r="Z5" s="73" t="s">
        <v>40</v>
      </c>
      <c r="AA5" s="77" t="s">
        <v>41</v>
      </c>
      <c r="AD5" s="1"/>
    </row>
    <row r="6" spans="2:32">
      <c r="B6" s="142" t="s">
        <v>11</v>
      </c>
      <c r="C6" s="81" t="s">
        <v>30</v>
      </c>
      <c r="D6" s="17">
        <v>0.55433420844796311</v>
      </c>
      <c r="E6" s="68">
        <v>0.26466797954411936</v>
      </c>
      <c r="F6" s="19">
        <v>0.59299412151839548</v>
      </c>
      <c r="G6" s="68">
        <v>0.24707541178463258</v>
      </c>
      <c r="H6" s="19">
        <v>0.59392431004743018</v>
      </c>
      <c r="I6" s="68">
        <v>0.27343826802256677</v>
      </c>
      <c r="J6" s="19">
        <v>0.62810506998951243</v>
      </c>
      <c r="K6" s="68">
        <v>0.25241865856012968</v>
      </c>
      <c r="L6" s="19">
        <v>0.67380046010686745</v>
      </c>
      <c r="M6" s="19">
        <v>0.21276295785125132</v>
      </c>
      <c r="N6" s="30">
        <v>0.70024263536319808</v>
      </c>
      <c r="O6" s="31">
        <v>0.18627572523296829</v>
      </c>
      <c r="P6" s="18">
        <v>0.70449658578272822</v>
      </c>
      <c r="Q6" s="19">
        <v>0.18542188125106315</v>
      </c>
      <c r="R6" s="18">
        <v>0.65222214544784141</v>
      </c>
      <c r="S6" s="68">
        <v>0.247271875358023</v>
      </c>
      <c r="T6" s="19">
        <v>0.63478459608907789</v>
      </c>
      <c r="U6" s="68">
        <v>0.25223525543354358</v>
      </c>
      <c r="V6" s="19">
        <v>0.59885844684406886</v>
      </c>
      <c r="W6" s="68">
        <v>0.28052868961201521</v>
      </c>
      <c r="X6" s="19">
        <v>0.53754305621479692</v>
      </c>
      <c r="Y6" s="20">
        <v>0.3256895864780805</v>
      </c>
      <c r="Z6" s="50">
        <v>0.60748441955585741</v>
      </c>
      <c r="AA6" s="51">
        <v>0.27067324182685604</v>
      </c>
      <c r="AC6" s="1" t="s">
        <v>15</v>
      </c>
    </row>
    <row r="7" spans="2:32">
      <c r="B7" s="142"/>
      <c r="C7" s="81" t="s">
        <v>38</v>
      </c>
      <c r="D7" s="8">
        <v>0.745637183295637</v>
      </c>
      <c r="E7" s="69">
        <v>8.3377996240183591E-2</v>
      </c>
      <c r="F7" s="9">
        <v>0.76348125512014664</v>
      </c>
      <c r="G7" s="69">
        <v>7.8465959916359324E-2</v>
      </c>
      <c r="H7" s="9">
        <v>0.77953140116129194</v>
      </c>
      <c r="I7" s="69">
        <v>7.2594955671278882E-2</v>
      </c>
      <c r="J7" s="9">
        <v>0.79254592582178274</v>
      </c>
      <c r="K7" s="69">
        <v>6.6769237453873323E-2</v>
      </c>
      <c r="L7" s="9">
        <v>0.80066938094987417</v>
      </c>
      <c r="M7" s="9">
        <v>6.8231091166269742E-2</v>
      </c>
      <c r="N7" s="15">
        <v>0.81595729509493542</v>
      </c>
      <c r="O7" s="28">
        <v>5.2399290537307748E-2</v>
      </c>
      <c r="P7" s="13">
        <v>0.81789456739755784</v>
      </c>
      <c r="Q7" s="9">
        <v>5.5020769150236105E-2</v>
      </c>
      <c r="R7" s="13">
        <v>0.81341249300603768</v>
      </c>
      <c r="S7" s="69">
        <v>6.0743243389170837E-2</v>
      </c>
      <c r="T7" s="9">
        <v>0.79917336349567669</v>
      </c>
      <c r="U7" s="69">
        <v>6.7772446588742319E-2</v>
      </c>
      <c r="V7" s="9">
        <v>0.76528187039933615</v>
      </c>
      <c r="W7" s="69">
        <v>9.3280767075270776E-2</v>
      </c>
      <c r="X7" s="9">
        <v>0.70346632488338567</v>
      </c>
      <c r="Y7" s="10">
        <v>0.1394032357244514</v>
      </c>
      <c r="Z7" s="93">
        <v>0.78270279995280279</v>
      </c>
      <c r="AA7" s="59">
        <v>8.0390804819032269E-2</v>
      </c>
      <c r="AC7" s="1" t="s">
        <v>16</v>
      </c>
      <c r="AD7" s="1" t="s">
        <v>17</v>
      </c>
    </row>
    <row r="8" spans="2:32" ht="15.75" thickBot="1">
      <c r="B8" s="142"/>
      <c r="C8" s="81" t="s">
        <v>31</v>
      </c>
      <c r="D8" s="8">
        <v>0.58013498326800095</v>
      </c>
      <c r="E8" s="69">
        <v>0.24173230953484362</v>
      </c>
      <c r="F8" s="9">
        <v>0.5980766233740914</v>
      </c>
      <c r="G8" s="69">
        <v>0.23872977300572948</v>
      </c>
      <c r="H8" s="9">
        <v>0.63127796386226298</v>
      </c>
      <c r="I8" s="69">
        <v>0.21030073509787237</v>
      </c>
      <c r="J8" s="9">
        <v>0.64824520662061791</v>
      </c>
      <c r="K8" s="69">
        <v>0.2027885424758952</v>
      </c>
      <c r="L8" s="9">
        <v>0.6762638876470175</v>
      </c>
      <c r="M8" s="9">
        <v>0.17709298438147864</v>
      </c>
      <c r="N8" s="15">
        <v>0.68967889950335981</v>
      </c>
      <c r="O8" s="28">
        <v>0.17185262762027148</v>
      </c>
      <c r="P8" s="13">
        <v>0.70056270784580443</v>
      </c>
      <c r="Q8" s="9">
        <v>0.1707559952402137</v>
      </c>
      <c r="R8" s="13">
        <v>0.68417039582030714</v>
      </c>
      <c r="S8" s="69">
        <v>0.20101813431341925</v>
      </c>
      <c r="T8" s="9">
        <v>0.68485461921207491</v>
      </c>
      <c r="U8" s="69">
        <v>0.19031227906299356</v>
      </c>
      <c r="V8" s="9">
        <v>0.65391566402506385</v>
      </c>
      <c r="W8" s="69">
        <v>0.21743049022295668</v>
      </c>
      <c r="X8" s="9">
        <v>0.56350354176938156</v>
      </c>
      <c r="Y8" s="10">
        <v>0.2951196150379421</v>
      </c>
      <c r="Z8" s="93">
        <v>0.64939566801329451</v>
      </c>
      <c r="AA8" s="59">
        <v>0.20893243906853937</v>
      </c>
      <c r="AC8" s="1" t="s">
        <v>18</v>
      </c>
    </row>
    <row r="9" spans="2:32">
      <c r="B9" s="141" t="s">
        <v>1</v>
      </c>
      <c r="C9" s="82" t="s">
        <v>30</v>
      </c>
      <c r="D9" s="61">
        <v>0.46553522926456486</v>
      </c>
      <c r="E9" s="70">
        <v>0.25328808349551962</v>
      </c>
      <c r="F9" s="62">
        <v>0.37308004842593634</v>
      </c>
      <c r="G9" s="70">
        <v>0.30662721493961603</v>
      </c>
      <c r="H9" s="62">
        <v>0.49936232596119817</v>
      </c>
      <c r="I9" s="70">
        <v>0.27475014536261222</v>
      </c>
      <c r="J9" s="62">
        <v>0.38503380975917945</v>
      </c>
      <c r="K9" s="70">
        <v>0.39542726027134201</v>
      </c>
      <c r="L9" s="62">
        <v>0.46440239168245606</v>
      </c>
      <c r="M9" s="62">
        <v>0.31455028818362984</v>
      </c>
      <c r="N9" s="25">
        <v>0.46435762065757336</v>
      </c>
      <c r="O9" s="62">
        <v>0.35982438339039952</v>
      </c>
      <c r="P9" s="25">
        <v>0.45607259369673869</v>
      </c>
      <c r="Q9" s="62">
        <v>0.32163467537166912</v>
      </c>
      <c r="R9" s="25">
        <v>0.43093792372698292</v>
      </c>
      <c r="S9" s="70">
        <v>0.38967543251100251</v>
      </c>
      <c r="T9" s="62">
        <v>0.19536981967960604</v>
      </c>
      <c r="U9" s="70">
        <v>0.63898157058401639</v>
      </c>
      <c r="V9" s="62">
        <v>0.12505307815136321</v>
      </c>
      <c r="W9" s="70">
        <v>0.78112970635260581</v>
      </c>
      <c r="X9" s="62">
        <v>5.6763635967749006E-2</v>
      </c>
      <c r="Y9" s="26">
        <v>0.74086141827856267</v>
      </c>
      <c r="Z9" s="61">
        <v>0.39128959407075753</v>
      </c>
      <c r="AA9" s="26">
        <v>0.38578570559066128</v>
      </c>
      <c r="AC9" s="1" t="s">
        <v>19</v>
      </c>
    </row>
    <row r="10" spans="2:32">
      <c r="B10" s="142"/>
      <c r="C10" s="81" t="s">
        <v>38</v>
      </c>
      <c r="D10" s="8">
        <v>0.66896492716025158</v>
      </c>
      <c r="E10" s="69">
        <v>0.12249392688670654</v>
      </c>
      <c r="F10" s="9">
        <v>0.68986677458621326</v>
      </c>
      <c r="G10" s="69">
        <v>0.11281574916429009</v>
      </c>
      <c r="H10" s="9">
        <v>0.68744833361795943</v>
      </c>
      <c r="I10" s="69">
        <v>0.15016852073505274</v>
      </c>
      <c r="J10" s="9">
        <v>0.72348328409696516</v>
      </c>
      <c r="K10" s="69">
        <v>0.13259891605279639</v>
      </c>
      <c r="L10" s="9">
        <v>0.64336644456496073</v>
      </c>
      <c r="M10" s="9">
        <v>0.23657798520426751</v>
      </c>
      <c r="N10" s="13">
        <v>0.60633838621045255</v>
      </c>
      <c r="O10" s="9">
        <v>0.2850590204801593</v>
      </c>
      <c r="P10" s="13">
        <v>0.78978627652210553</v>
      </c>
      <c r="Q10" s="9">
        <v>0.12383454317362257</v>
      </c>
      <c r="R10" s="13">
        <v>0.68601750923481741</v>
      </c>
      <c r="S10" s="69">
        <v>0.22948697171927893</v>
      </c>
      <c r="T10" s="9">
        <v>0.51939361301694531</v>
      </c>
      <c r="U10" s="69">
        <v>0.35043407335502436</v>
      </c>
      <c r="V10" s="9">
        <v>0.61862116452484706</v>
      </c>
      <c r="W10" s="69">
        <v>0.24529249549769844</v>
      </c>
      <c r="X10" s="9">
        <v>0.43108447952844153</v>
      </c>
      <c r="Y10" s="10">
        <v>0.41697936718700246</v>
      </c>
      <c r="Z10" s="8">
        <v>0.6396864386311446</v>
      </c>
      <c r="AA10" s="10">
        <v>0.2278616569812823</v>
      </c>
    </row>
    <row r="11" spans="2:32" ht="15.75" thickBot="1">
      <c r="B11" s="143"/>
      <c r="C11" s="83" t="s">
        <v>31</v>
      </c>
      <c r="D11" s="21">
        <v>0.45802943723316136</v>
      </c>
      <c r="E11" s="71">
        <v>0.30200029624251978</v>
      </c>
      <c r="F11" s="23">
        <v>0.48206233426207934</v>
      </c>
      <c r="G11" s="71">
        <v>0.29572951696138283</v>
      </c>
      <c r="H11" s="23">
        <v>0.50092733675465451</v>
      </c>
      <c r="I11" s="71">
        <v>0.27276386487744697</v>
      </c>
      <c r="J11" s="23">
        <v>0.55671059770767717</v>
      </c>
      <c r="K11" s="71">
        <v>0.24036008059963221</v>
      </c>
      <c r="L11" s="23">
        <v>0.53898483521570362</v>
      </c>
      <c r="M11" s="23">
        <v>0.28071755047918773</v>
      </c>
      <c r="N11" s="22">
        <v>0.49628614742182531</v>
      </c>
      <c r="O11" s="23">
        <v>0.29974600896553222</v>
      </c>
      <c r="P11" s="22">
        <v>0.54005601588585517</v>
      </c>
      <c r="Q11" s="23">
        <v>0.29890864795512834</v>
      </c>
      <c r="R11" s="22">
        <v>0.49739301867957264</v>
      </c>
      <c r="S11" s="71">
        <v>0.29993191206906505</v>
      </c>
      <c r="T11" s="23">
        <v>0.4689461310706397</v>
      </c>
      <c r="U11" s="71">
        <v>0.38098155167599501</v>
      </c>
      <c r="V11" s="23">
        <v>0.36637072457931025</v>
      </c>
      <c r="W11" s="71">
        <v>0.44418773796837807</v>
      </c>
      <c r="X11" s="23">
        <v>0.32369021107822088</v>
      </c>
      <c r="Y11" s="24">
        <v>0.40965388175530565</v>
      </c>
      <c r="Z11" s="8">
        <v>0.49005511421521336</v>
      </c>
      <c r="AA11" s="10">
        <v>0.30659978177101294</v>
      </c>
      <c r="AC11" s="121"/>
      <c r="AD11" s="121"/>
      <c r="AE11" s="121"/>
      <c r="AF11" s="121"/>
    </row>
    <row r="12" spans="2:32">
      <c r="B12" s="142" t="s">
        <v>2</v>
      </c>
      <c r="C12" s="81" t="s">
        <v>30</v>
      </c>
      <c r="D12" s="61">
        <v>0.35800134333376493</v>
      </c>
      <c r="E12" s="70">
        <v>0.33034960595754442</v>
      </c>
      <c r="F12" s="62">
        <v>0.42689926704914866</v>
      </c>
      <c r="G12" s="70">
        <v>0.33325497239412866</v>
      </c>
      <c r="H12" s="62">
        <v>0.46149491082802402</v>
      </c>
      <c r="I12" s="70">
        <v>0.31999960352922663</v>
      </c>
      <c r="J12" s="62">
        <v>0.46759071607343178</v>
      </c>
      <c r="K12" s="70">
        <v>0.31586477669109547</v>
      </c>
      <c r="L12" s="62">
        <v>0.32450028470610409</v>
      </c>
      <c r="M12" s="62">
        <v>0.45349223176778813</v>
      </c>
      <c r="N12" s="25">
        <v>0.47531046518907855</v>
      </c>
      <c r="O12" s="62">
        <v>0.34504021617865244</v>
      </c>
      <c r="P12" s="25">
        <v>0.1534188538624035</v>
      </c>
      <c r="Q12" s="62">
        <v>0.67944433744192501</v>
      </c>
      <c r="R12" s="25">
        <v>0.28472900444388255</v>
      </c>
      <c r="S12" s="70">
        <v>0.59297175165816618</v>
      </c>
      <c r="T12" s="62">
        <v>0.41534418307147269</v>
      </c>
      <c r="U12" s="70">
        <v>0.45383517233582976</v>
      </c>
      <c r="V12" s="62">
        <v>0.12166859451245214</v>
      </c>
      <c r="W12" s="70">
        <v>0.69338065037702235</v>
      </c>
      <c r="X12" s="62">
        <v>-7.2758632940999157E-2</v>
      </c>
      <c r="Y12" s="26">
        <v>0.79994546662135568</v>
      </c>
      <c r="Z12" s="61">
        <v>0.35539535532412453</v>
      </c>
      <c r="AA12" s="26">
        <v>0.43575214690620567</v>
      </c>
      <c r="AC12" s="121"/>
      <c r="AD12" s="121"/>
      <c r="AE12" s="121"/>
      <c r="AF12" s="121"/>
    </row>
    <row r="13" spans="2:32">
      <c r="B13" s="142"/>
      <c r="C13" s="81" t="s">
        <v>38</v>
      </c>
      <c r="D13" s="8">
        <v>0.57618600546018728</v>
      </c>
      <c r="E13" s="69">
        <v>0.22249012139295629</v>
      </c>
      <c r="F13" s="9">
        <v>0.58124017693034968</v>
      </c>
      <c r="G13" s="69">
        <v>0.26044359232947678</v>
      </c>
      <c r="H13" s="9">
        <v>0.69186039723022918</v>
      </c>
      <c r="I13" s="69">
        <v>0.10073704295068693</v>
      </c>
      <c r="J13" s="9">
        <v>0.69963424551634412</v>
      </c>
      <c r="K13" s="69">
        <v>0.15647552893604399</v>
      </c>
      <c r="L13" s="9">
        <v>0.59586706973781611</v>
      </c>
      <c r="M13" s="9">
        <v>0.2637703454269919</v>
      </c>
      <c r="N13" s="13">
        <v>0.62335327626129466</v>
      </c>
      <c r="O13" s="9">
        <v>0.24874766928748884</v>
      </c>
      <c r="P13" s="13">
        <v>0.66170361735084149</v>
      </c>
      <c r="Q13" s="9">
        <v>0.24644508115109734</v>
      </c>
      <c r="R13" s="13">
        <v>0.39397712855229611</v>
      </c>
      <c r="S13" s="69">
        <v>0.4717643332369249</v>
      </c>
      <c r="T13" s="9">
        <v>0.34857795332253971</v>
      </c>
      <c r="U13" s="69">
        <v>0.43684282579109746</v>
      </c>
      <c r="V13" s="9">
        <v>0.18595522299780162</v>
      </c>
      <c r="W13" s="69">
        <v>0.62026019512832031</v>
      </c>
      <c r="X13" s="9">
        <v>0.13693256717106664</v>
      </c>
      <c r="Y13" s="10">
        <v>0.652260056171167</v>
      </c>
      <c r="Z13" s="8">
        <v>0.53841883958225933</v>
      </c>
      <c r="AA13" s="10">
        <v>0.316008066699279</v>
      </c>
      <c r="AC13" s="121"/>
      <c r="AD13" s="121"/>
      <c r="AE13" s="121"/>
      <c r="AF13" s="121"/>
    </row>
    <row r="14" spans="2:32" ht="15.75" thickBot="1">
      <c r="B14" s="142"/>
      <c r="C14" s="81" t="s">
        <v>31</v>
      </c>
      <c r="D14" s="8">
        <v>0.49049350863985292</v>
      </c>
      <c r="E14" s="69">
        <v>0.24137337480238499</v>
      </c>
      <c r="F14" s="9">
        <v>0.52626504520468731</v>
      </c>
      <c r="G14" s="69">
        <v>0.2196730386399296</v>
      </c>
      <c r="H14" s="9">
        <v>0.45865139233449848</v>
      </c>
      <c r="I14" s="69">
        <v>0.30855617233892124</v>
      </c>
      <c r="J14" s="9">
        <v>0.45716972715708731</v>
      </c>
      <c r="K14" s="69">
        <v>0.34131198376023392</v>
      </c>
      <c r="L14" s="9">
        <v>0.49126329033581517</v>
      </c>
      <c r="M14" s="9">
        <v>0.31081984402447138</v>
      </c>
      <c r="N14" s="13">
        <v>0.47950504512802339</v>
      </c>
      <c r="O14" s="9">
        <v>0.33042745139367169</v>
      </c>
      <c r="P14" s="13">
        <v>0.42640917815094304</v>
      </c>
      <c r="Q14" s="9">
        <v>0.39313651394869253</v>
      </c>
      <c r="R14" s="13">
        <v>0.41289377184193382</v>
      </c>
      <c r="S14" s="69">
        <v>0.35041874936613593</v>
      </c>
      <c r="T14" s="9">
        <v>0.28661543105692827</v>
      </c>
      <c r="U14" s="69">
        <v>0.45362548185213669</v>
      </c>
      <c r="V14" s="9">
        <v>0.35196632593508087</v>
      </c>
      <c r="W14" s="69">
        <v>0.40683868136381457</v>
      </c>
      <c r="X14" s="9">
        <v>0.14619499450609849</v>
      </c>
      <c r="Y14" s="10">
        <v>0.52138418730003178</v>
      </c>
      <c r="Z14" s="8">
        <v>0.41257195391727775</v>
      </c>
      <c r="AA14" s="10">
        <v>0.357831564687904</v>
      </c>
      <c r="AC14" s="1" t="s">
        <v>20</v>
      </c>
    </row>
    <row r="15" spans="2:32">
      <c r="B15" s="141" t="s">
        <v>3</v>
      </c>
      <c r="C15" s="82" t="s">
        <v>30</v>
      </c>
      <c r="D15" s="61">
        <v>0.36882832989415881</v>
      </c>
      <c r="E15" s="70">
        <v>0.31465189075462185</v>
      </c>
      <c r="F15" s="62">
        <v>0.37428818901246586</v>
      </c>
      <c r="G15" s="70">
        <v>0.39072706677058999</v>
      </c>
      <c r="H15" s="62">
        <v>0.37493316030019436</v>
      </c>
      <c r="I15" s="70">
        <v>0.39939134876455995</v>
      </c>
      <c r="J15" s="62">
        <v>0.42163588324996154</v>
      </c>
      <c r="K15" s="70">
        <v>0.33368839624654117</v>
      </c>
      <c r="L15" s="62">
        <v>0.43940099871682325</v>
      </c>
      <c r="M15" s="62">
        <v>0.3315238163288059</v>
      </c>
      <c r="N15" s="25">
        <v>0.4397915673087362</v>
      </c>
      <c r="O15" s="62">
        <v>0.38720311545524588</v>
      </c>
      <c r="P15" s="25">
        <v>0.28584119976020284</v>
      </c>
      <c r="Q15" s="62">
        <v>0.55375366502677215</v>
      </c>
      <c r="R15" s="25">
        <v>0.31139013772566215</v>
      </c>
      <c r="S15" s="70">
        <v>0.57146405293681057</v>
      </c>
      <c r="T15" s="62">
        <v>0.26423341003186041</v>
      </c>
      <c r="U15" s="70">
        <v>0.53308397160034393</v>
      </c>
      <c r="V15" s="62">
        <v>0.2019354705067242</v>
      </c>
      <c r="W15" s="70">
        <v>0.60625936204998598</v>
      </c>
      <c r="X15" s="62">
        <v>0.16664774029107868</v>
      </c>
      <c r="Y15" s="26">
        <v>0.72075044978687774</v>
      </c>
      <c r="Z15" s="61">
        <v>0.36046294894076708</v>
      </c>
      <c r="AA15" s="26">
        <v>0.42571134932131094</v>
      </c>
      <c r="AC15" s="1" t="s">
        <v>53</v>
      </c>
    </row>
    <row r="16" spans="2:32">
      <c r="B16" s="142"/>
      <c r="C16" s="81" t="s">
        <v>38</v>
      </c>
      <c r="D16" s="8">
        <v>0.59745007429793384</v>
      </c>
      <c r="E16" s="69">
        <v>0.15408574760067154</v>
      </c>
      <c r="F16" s="9">
        <v>0.64958781044184699</v>
      </c>
      <c r="G16" s="69">
        <v>0.13736093965506718</v>
      </c>
      <c r="H16" s="9">
        <v>0.66723062457538129</v>
      </c>
      <c r="I16" s="69">
        <v>0.14685269289621131</v>
      </c>
      <c r="J16" s="9">
        <v>0.59529301776181642</v>
      </c>
      <c r="K16" s="69">
        <v>0.23753758759968649</v>
      </c>
      <c r="L16" s="9">
        <v>0.63746229939531118</v>
      </c>
      <c r="M16" s="9">
        <v>0.2055798747818442</v>
      </c>
      <c r="N16" s="13">
        <v>0.67255401192870712</v>
      </c>
      <c r="O16" s="9">
        <v>0.19319206996772903</v>
      </c>
      <c r="P16" s="13">
        <v>0.50526337836322988</v>
      </c>
      <c r="Q16" s="9">
        <v>0.36652655999364969</v>
      </c>
      <c r="R16" s="13">
        <v>0.5350156971469856</v>
      </c>
      <c r="S16" s="69">
        <v>0.32096986497644375</v>
      </c>
      <c r="T16" s="9">
        <v>0.3322198686028876</v>
      </c>
      <c r="U16" s="69">
        <v>0.46167212512460376</v>
      </c>
      <c r="V16" s="9">
        <v>0.31450598238268451</v>
      </c>
      <c r="W16" s="69">
        <v>0.48610115291204681</v>
      </c>
      <c r="X16" s="9">
        <v>0.36733330629231759</v>
      </c>
      <c r="Y16" s="10">
        <v>0.5198946254998712</v>
      </c>
      <c r="Z16" s="8">
        <v>0.56396659857840337</v>
      </c>
      <c r="AA16" s="10">
        <v>0.27368519527451507</v>
      </c>
      <c r="AC16" s="1" t="s">
        <v>22</v>
      </c>
    </row>
    <row r="17" spans="2:37" ht="15.75" thickBot="1">
      <c r="B17" s="143"/>
      <c r="C17" s="83" t="s">
        <v>31</v>
      </c>
      <c r="D17" s="8">
        <v>0.47794534411518352</v>
      </c>
      <c r="E17" s="69">
        <v>0.24051302678536543</v>
      </c>
      <c r="F17" s="9">
        <v>0.49497037041627051</v>
      </c>
      <c r="G17" s="69">
        <v>0.25021971888628036</v>
      </c>
      <c r="H17" s="9">
        <v>0.46357092745457423</v>
      </c>
      <c r="I17" s="69">
        <v>0.2872844758071561</v>
      </c>
      <c r="J17" s="9">
        <v>0.41250127658192809</v>
      </c>
      <c r="K17" s="69">
        <v>0.3717610488969475</v>
      </c>
      <c r="L17" s="9">
        <v>0.41784336728145893</v>
      </c>
      <c r="M17" s="9">
        <v>0.30728033542312072</v>
      </c>
      <c r="N17" s="13">
        <v>0.43528567475018676</v>
      </c>
      <c r="O17" s="9">
        <v>0.34888009042632695</v>
      </c>
      <c r="P17" s="13">
        <v>0.42751554348554027</v>
      </c>
      <c r="Q17" s="9">
        <v>0.35395756808406953</v>
      </c>
      <c r="R17" s="13">
        <v>0.47435230163346276</v>
      </c>
      <c r="S17" s="69">
        <v>0.3200123687765587</v>
      </c>
      <c r="T17" s="9">
        <v>0.3582046396850373</v>
      </c>
      <c r="U17" s="69">
        <v>0.40439403571923321</v>
      </c>
      <c r="V17" s="9">
        <v>0.14092567325015298</v>
      </c>
      <c r="W17" s="69">
        <v>0.56812454998553563</v>
      </c>
      <c r="X17" s="9">
        <v>0.28019556118953032</v>
      </c>
      <c r="Y17" s="10">
        <v>0.40754402730502021</v>
      </c>
      <c r="Z17" s="8">
        <v>0.40583937684352445</v>
      </c>
      <c r="AA17" s="10">
        <v>0.34765013584186477</v>
      </c>
    </row>
    <row r="18" spans="2:37">
      <c r="B18" s="142" t="s">
        <v>4</v>
      </c>
      <c r="C18" s="81" t="s">
        <v>30</v>
      </c>
      <c r="D18" s="61">
        <v>0.48485775579064072</v>
      </c>
      <c r="E18" s="70">
        <v>0.27970950370119152</v>
      </c>
      <c r="F18" s="62">
        <v>0.5372611754322616</v>
      </c>
      <c r="G18" s="70">
        <v>0.24357696999338413</v>
      </c>
      <c r="H18" s="62">
        <v>0.5548950893923853</v>
      </c>
      <c r="I18" s="70">
        <v>0.22835642378727872</v>
      </c>
      <c r="J18" s="62">
        <v>0.50579121791176518</v>
      </c>
      <c r="K18" s="70">
        <v>0.31130878543351781</v>
      </c>
      <c r="L18" s="62">
        <v>0.59813268025110533</v>
      </c>
      <c r="M18" s="62">
        <v>0.25531405498986576</v>
      </c>
      <c r="N18" s="25">
        <v>0.56953941375149486</v>
      </c>
      <c r="O18" s="62">
        <v>0.28555899079083341</v>
      </c>
      <c r="P18" s="25">
        <v>0.5784365514604991</v>
      </c>
      <c r="Q18" s="62">
        <v>0.3104717376716063</v>
      </c>
      <c r="R18" s="25">
        <v>0.57039623038352361</v>
      </c>
      <c r="S18" s="70">
        <v>0.30033609368552822</v>
      </c>
      <c r="T18" s="62">
        <v>0.5381268079293765</v>
      </c>
      <c r="U18" s="70">
        <v>0.33362422560798394</v>
      </c>
      <c r="V18" s="62">
        <v>0.5222001564947274</v>
      </c>
      <c r="W18" s="70">
        <v>0.35721782684988967</v>
      </c>
      <c r="X18" s="62">
        <v>0.26585613042208278</v>
      </c>
      <c r="Y18" s="26">
        <v>0.62697020790837388</v>
      </c>
      <c r="Z18" s="61">
        <v>0.52584601702492062</v>
      </c>
      <c r="AA18" s="26">
        <v>0.31127665424549034</v>
      </c>
      <c r="AE18" s="121"/>
      <c r="AF18" s="121"/>
    </row>
    <row r="19" spans="2:37">
      <c r="B19" s="142"/>
      <c r="C19" s="81" t="s">
        <v>38</v>
      </c>
      <c r="D19" s="8">
        <v>0.66797387956496734</v>
      </c>
      <c r="E19" s="69">
        <v>0.12807145322149088</v>
      </c>
      <c r="F19" s="9">
        <v>0.69120797995439487</v>
      </c>
      <c r="G19" s="69">
        <v>0.11310002425580597</v>
      </c>
      <c r="H19" s="9">
        <v>0.70490649458770682</v>
      </c>
      <c r="I19" s="69">
        <v>0.11419901228347069</v>
      </c>
      <c r="J19" s="9">
        <v>0.74538231859778958</v>
      </c>
      <c r="K19" s="69">
        <v>8.4760621827218358E-2</v>
      </c>
      <c r="L19" s="9">
        <v>0.76871262939291685</v>
      </c>
      <c r="M19" s="9">
        <v>9.5205820228652135E-2</v>
      </c>
      <c r="N19" s="13">
        <v>0.75313977716147629</v>
      </c>
      <c r="O19" s="9">
        <v>0.12355724759852173</v>
      </c>
      <c r="P19" s="13">
        <v>0.79101865827328655</v>
      </c>
      <c r="Q19" s="9">
        <v>7.5274261593759675E-2</v>
      </c>
      <c r="R19" s="13">
        <v>0.72580213523763493</v>
      </c>
      <c r="S19" s="69">
        <v>0.15032220171158703</v>
      </c>
      <c r="T19" s="9">
        <v>0.66440268825935578</v>
      </c>
      <c r="U19" s="69">
        <v>0.19923804224553998</v>
      </c>
      <c r="V19" s="9">
        <v>0.58932875860626355</v>
      </c>
      <c r="W19" s="69">
        <v>0.2561101831336231</v>
      </c>
      <c r="X19" s="9">
        <v>0.50090801699373255</v>
      </c>
      <c r="Y19" s="10">
        <v>0.33383936506430817</v>
      </c>
      <c r="Z19" s="8">
        <v>0.69752893092831181</v>
      </c>
      <c r="AA19" s="10">
        <v>0.15625848409307549</v>
      </c>
      <c r="AC19" s="1" t="s">
        <v>24</v>
      </c>
      <c r="AE19" s="121"/>
      <c r="AF19" s="121"/>
    </row>
    <row r="20" spans="2:37" ht="15.75" thickBot="1">
      <c r="B20" s="142"/>
      <c r="C20" s="81" t="s">
        <v>31</v>
      </c>
      <c r="D20" s="8">
        <v>0.52575286686190303</v>
      </c>
      <c r="E20" s="69">
        <v>0.19932714466157639</v>
      </c>
      <c r="F20" s="9">
        <v>0.50276129396810965</v>
      </c>
      <c r="G20" s="69">
        <v>0.23046504273861884</v>
      </c>
      <c r="H20" s="9">
        <v>0.50855413451452047</v>
      </c>
      <c r="I20" s="69">
        <v>0.26594282063967728</v>
      </c>
      <c r="J20" s="9">
        <v>0.52693006816821397</v>
      </c>
      <c r="K20" s="69">
        <v>0.25473229979842937</v>
      </c>
      <c r="L20" s="9">
        <v>0.56874833120280299</v>
      </c>
      <c r="M20" s="9">
        <v>0.21599506469012816</v>
      </c>
      <c r="N20" s="13">
        <v>0.50154757872346134</v>
      </c>
      <c r="O20" s="9">
        <v>0.28984994672695957</v>
      </c>
      <c r="P20" s="13">
        <v>0.58493615930973764</v>
      </c>
      <c r="Q20" s="9">
        <v>0.23986289805945041</v>
      </c>
      <c r="R20" s="13">
        <v>0.4813298211663235</v>
      </c>
      <c r="S20" s="69">
        <v>0.36297821128274782</v>
      </c>
      <c r="T20" s="9">
        <v>0.53942751547049361</v>
      </c>
      <c r="U20" s="69">
        <v>0.2977806615302715</v>
      </c>
      <c r="V20" s="9">
        <v>0.40110608300859957</v>
      </c>
      <c r="W20" s="69">
        <v>0.407868382928049</v>
      </c>
      <c r="X20" s="9">
        <v>0.42188275740387171</v>
      </c>
      <c r="Y20" s="10">
        <v>0.3754425526760311</v>
      </c>
      <c r="Z20" s="8">
        <v>0.51468427464068955</v>
      </c>
      <c r="AA20" s="10">
        <v>0.27786323785844452</v>
      </c>
      <c r="AE20" s="121"/>
      <c r="AF20" s="121"/>
    </row>
    <row r="21" spans="2:37">
      <c r="B21" s="141" t="s">
        <v>5</v>
      </c>
      <c r="C21" s="82" t="s">
        <v>30</v>
      </c>
      <c r="D21" s="61">
        <v>0.3431962425864325</v>
      </c>
      <c r="E21" s="70">
        <v>0.33312007471742983</v>
      </c>
      <c r="F21" s="62">
        <v>0.34614756140457109</v>
      </c>
      <c r="G21" s="70">
        <v>0.44817112233582534</v>
      </c>
      <c r="H21" s="62">
        <v>0.45817688588610533</v>
      </c>
      <c r="I21" s="70">
        <v>0.35944728999222758</v>
      </c>
      <c r="J21" s="62">
        <v>0.36862334214815201</v>
      </c>
      <c r="K21" s="70">
        <v>0.45027999890611609</v>
      </c>
      <c r="L21" s="62">
        <v>0.56373350343071571</v>
      </c>
      <c r="M21" s="62">
        <v>0.29358702905901202</v>
      </c>
      <c r="N21" s="25">
        <v>0.55460205850039024</v>
      </c>
      <c r="O21" s="62">
        <v>0.34316507476239838</v>
      </c>
      <c r="P21" s="25">
        <v>0.50826183016569004</v>
      </c>
      <c r="Q21" s="62">
        <v>0.32686051709346592</v>
      </c>
      <c r="R21" s="25">
        <v>0.49412060038301397</v>
      </c>
      <c r="S21" s="70">
        <v>0.38587107834664108</v>
      </c>
      <c r="T21" s="62">
        <v>0.35963491470723485</v>
      </c>
      <c r="U21" s="70">
        <v>0.56375720123320994</v>
      </c>
      <c r="V21" s="62">
        <v>0.28245579878458399</v>
      </c>
      <c r="W21" s="70">
        <v>0.64750336968624334</v>
      </c>
      <c r="X21" s="62">
        <v>0.38943535347596758</v>
      </c>
      <c r="Y21" s="26">
        <v>0.5408853393003481</v>
      </c>
      <c r="Z21" s="61">
        <v>0.40128079831286373</v>
      </c>
      <c r="AA21" s="26">
        <v>0.45065357670061129</v>
      </c>
      <c r="AD21" s="1" t="s">
        <v>25</v>
      </c>
    </row>
    <row r="22" spans="2:37">
      <c r="B22" s="142"/>
      <c r="C22" s="81" t="s">
        <v>38</v>
      </c>
      <c r="D22" s="8">
        <v>0.68926329006247766</v>
      </c>
      <c r="E22" s="69">
        <v>0.11994800965733271</v>
      </c>
      <c r="F22" s="9">
        <v>0.6816496352392295</v>
      </c>
      <c r="G22" s="69">
        <v>0.14610650251649424</v>
      </c>
      <c r="H22" s="9">
        <v>0.75220007188018301</v>
      </c>
      <c r="I22" s="69">
        <v>7.4699907309984354E-2</v>
      </c>
      <c r="J22" s="9">
        <v>0.77451918266390118</v>
      </c>
      <c r="K22" s="69">
        <v>6.5257487430362249E-2</v>
      </c>
      <c r="L22" s="9">
        <v>0.78377692374919183</v>
      </c>
      <c r="M22" s="9">
        <v>8.2965341584619448E-2</v>
      </c>
      <c r="N22" s="13">
        <v>0.78545693578959297</v>
      </c>
      <c r="O22" s="9">
        <v>9.4584498916423357E-2</v>
      </c>
      <c r="P22" s="13">
        <v>0.75800873562854276</v>
      </c>
      <c r="Q22" s="9">
        <v>0.12988853921155427</v>
      </c>
      <c r="R22" s="13">
        <v>0.78597926741720936</v>
      </c>
      <c r="S22" s="69">
        <v>8.6905254686591341E-2</v>
      </c>
      <c r="T22" s="9">
        <v>0.71879557868788235</v>
      </c>
      <c r="U22" s="69">
        <v>0.16997080312689758</v>
      </c>
      <c r="V22" s="9">
        <v>0.63985671895022622</v>
      </c>
      <c r="W22" s="69">
        <v>0.24040276273379277</v>
      </c>
      <c r="X22" s="9">
        <v>0.52357559767666872</v>
      </c>
      <c r="Y22" s="10">
        <v>0.32047720416108533</v>
      </c>
      <c r="Z22" s="8">
        <v>0.72975595631565937</v>
      </c>
      <c r="AA22" s="10">
        <v>0.13501657602785175</v>
      </c>
      <c r="AD22" s="1" t="s">
        <v>26</v>
      </c>
    </row>
    <row r="23" spans="2:37" ht="15.75" thickBot="1">
      <c r="B23" s="143"/>
      <c r="C23" s="83" t="s">
        <v>31</v>
      </c>
      <c r="D23" s="8">
        <v>0.41602031542002404</v>
      </c>
      <c r="E23" s="69">
        <v>0.32985986204926376</v>
      </c>
      <c r="F23" s="9">
        <v>0.3623181663393143</v>
      </c>
      <c r="G23" s="69">
        <v>0.36515649436748215</v>
      </c>
      <c r="H23" s="9">
        <v>0.54674337221008351</v>
      </c>
      <c r="I23" s="69">
        <v>0.27557510089424991</v>
      </c>
      <c r="J23" s="9">
        <v>0.50545273900079324</v>
      </c>
      <c r="K23" s="69">
        <v>0.30164591557630105</v>
      </c>
      <c r="L23" s="9">
        <v>0.52472203292733099</v>
      </c>
      <c r="M23" s="9">
        <v>0.29715227546143941</v>
      </c>
      <c r="N23" s="13">
        <v>0.47096897137777771</v>
      </c>
      <c r="O23" s="9">
        <v>0.30944664419079698</v>
      </c>
      <c r="P23" s="13">
        <v>0.58124378928878118</v>
      </c>
      <c r="Q23" s="9">
        <v>0.26094128105672337</v>
      </c>
      <c r="R23" s="13">
        <v>0.6052040100001731</v>
      </c>
      <c r="S23" s="69">
        <v>0.24844166303198714</v>
      </c>
      <c r="T23" s="9">
        <v>0.60373542225535881</v>
      </c>
      <c r="U23" s="69">
        <v>0.25208397605938132</v>
      </c>
      <c r="V23" s="9">
        <v>0.34743453231966986</v>
      </c>
      <c r="W23" s="69">
        <v>0.47621335779887036</v>
      </c>
      <c r="X23" s="9">
        <v>0.34711128677161041</v>
      </c>
      <c r="Y23" s="10">
        <v>0.44864165989852434</v>
      </c>
      <c r="Z23" s="8">
        <v>0.48839641035038084</v>
      </c>
      <c r="AA23" s="10">
        <v>0.32111286402409794</v>
      </c>
    </row>
    <row r="24" spans="2:37">
      <c r="B24" s="142" t="s">
        <v>6</v>
      </c>
      <c r="C24" s="81" t="s">
        <v>30</v>
      </c>
      <c r="D24" s="61">
        <v>0.46669256439806012</v>
      </c>
      <c r="E24" s="70">
        <v>0.22955016922867696</v>
      </c>
      <c r="F24" s="62">
        <v>0.48169249636875233</v>
      </c>
      <c r="G24" s="70">
        <v>0.26075616377347871</v>
      </c>
      <c r="H24" s="62">
        <v>0.47844253929031322</v>
      </c>
      <c r="I24" s="70">
        <v>0.2969549227772329</v>
      </c>
      <c r="J24" s="62">
        <v>0.45521375372415551</v>
      </c>
      <c r="K24" s="70">
        <v>0.31393213918111085</v>
      </c>
      <c r="L24" s="62">
        <v>0.51805149247297122</v>
      </c>
      <c r="M24" s="62">
        <v>0.27996971602758175</v>
      </c>
      <c r="N24" s="25">
        <v>0.45956037472124101</v>
      </c>
      <c r="O24" s="62">
        <v>0.38710866331593707</v>
      </c>
      <c r="P24" s="25">
        <v>0.51020995625161336</v>
      </c>
      <c r="Q24" s="62">
        <v>0.33861595423328444</v>
      </c>
      <c r="R24" s="25">
        <v>0.28590178959125168</v>
      </c>
      <c r="S24" s="70">
        <v>0.56716389198821837</v>
      </c>
      <c r="T24" s="62">
        <v>0.21751858461132165</v>
      </c>
      <c r="U24" s="70">
        <v>0.63102429860293763</v>
      </c>
      <c r="V24" s="62">
        <v>0.2506923960750313</v>
      </c>
      <c r="W24" s="70">
        <v>0.57554691102460975</v>
      </c>
      <c r="X24" s="62">
        <v>0.1202703210600299</v>
      </c>
      <c r="Y24" s="26">
        <v>0.68735420799090852</v>
      </c>
      <c r="Z24" s="61">
        <v>0.40167529154537507</v>
      </c>
      <c r="AA24" s="26">
        <v>0.40217157966320738</v>
      </c>
    </row>
    <row r="25" spans="2:37">
      <c r="B25" s="142"/>
      <c r="C25" s="81" t="s">
        <v>38</v>
      </c>
      <c r="D25" s="8">
        <v>0.6594985395461801</v>
      </c>
      <c r="E25" s="69">
        <v>0.14200327946977295</v>
      </c>
      <c r="F25" s="9">
        <v>0.69967776450405139</v>
      </c>
      <c r="G25" s="69">
        <v>0.1214711639444794</v>
      </c>
      <c r="H25" s="9">
        <v>0.71385880679757552</v>
      </c>
      <c r="I25" s="69">
        <v>0.11840927611737533</v>
      </c>
      <c r="J25" s="9">
        <v>0.74192337713366119</v>
      </c>
      <c r="K25" s="69">
        <v>0.10632153587829289</v>
      </c>
      <c r="L25" s="9">
        <v>0.7497357590143332</v>
      </c>
      <c r="M25" s="9">
        <v>0.11461726685319329</v>
      </c>
      <c r="N25" s="13">
        <v>0.73979660620147869</v>
      </c>
      <c r="O25" s="9">
        <v>0.14661578954837562</v>
      </c>
      <c r="P25" s="13">
        <v>0.75303958698810447</v>
      </c>
      <c r="Q25" s="9">
        <v>0.13257148060668128</v>
      </c>
      <c r="R25" s="13">
        <v>0.70046931723596662</v>
      </c>
      <c r="S25" s="69">
        <v>0.20581618023123804</v>
      </c>
      <c r="T25" s="9">
        <v>0.64026592881979161</v>
      </c>
      <c r="U25" s="69">
        <v>0.24320925703360027</v>
      </c>
      <c r="V25" s="9">
        <v>0.59856697276860016</v>
      </c>
      <c r="W25" s="69">
        <v>0.23694731815407913</v>
      </c>
      <c r="X25" s="9">
        <v>0.48597606218299472</v>
      </c>
      <c r="Y25" s="10">
        <v>0.36373676209770434</v>
      </c>
      <c r="Z25" s="8">
        <v>0.69261285121552629</v>
      </c>
      <c r="AA25" s="10">
        <v>0.1676332144890578</v>
      </c>
      <c r="AH25" s="2"/>
    </row>
    <row r="26" spans="2:37" ht="15.75" thickBot="1">
      <c r="B26" s="142"/>
      <c r="C26" s="81" t="s">
        <v>31</v>
      </c>
      <c r="D26" s="8">
        <v>0.4835505357437539</v>
      </c>
      <c r="E26" s="69">
        <v>0.30032377186414433</v>
      </c>
      <c r="F26" s="9">
        <v>0.49026355095219859</v>
      </c>
      <c r="G26" s="69">
        <v>0.27811644772796296</v>
      </c>
      <c r="H26" s="9">
        <v>0.52001101912383763</v>
      </c>
      <c r="I26" s="69">
        <v>0.26874034807762998</v>
      </c>
      <c r="J26" s="9">
        <v>0.55642849402775341</v>
      </c>
      <c r="K26" s="69">
        <v>0.24503648834415978</v>
      </c>
      <c r="L26" s="9">
        <v>0.58471802677889351</v>
      </c>
      <c r="M26" s="9">
        <v>0.2409280161033607</v>
      </c>
      <c r="N26" s="13">
        <v>0.56552622782849393</v>
      </c>
      <c r="O26" s="9">
        <v>0.26882993212540213</v>
      </c>
      <c r="P26" s="13">
        <v>0.54965299308869386</v>
      </c>
      <c r="Q26" s="9">
        <v>0.2778217486489003</v>
      </c>
      <c r="R26" s="13">
        <v>0.54692306621471187</v>
      </c>
      <c r="S26" s="69">
        <v>0.29858723948033167</v>
      </c>
      <c r="T26" s="9">
        <v>0.52446127733398595</v>
      </c>
      <c r="U26" s="69">
        <v>0.29562145848434856</v>
      </c>
      <c r="V26" s="9">
        <v>0.47284347806033511</v>
      </c>
      <c r="W26" s="69">
        <v>0.35701390260407168</v>
      </c>
      <c r="X26" s="9">
        <v>0.42412753319973634</v>
      </c>
      <c r="Y26" s="10">
        <v>0.37317293171073268</v>
      </c>
      <c r="Z26" s="8">
        <v>0.51605231406286156</v>
      </c>
      <c r="AA26" s="10">
        <v>0.29299539624644677</v>
      </c>
      <c r="AH26" s="2"/>
    </row>
    <row r="27" spans="2:37">
      <c r="B27" s="141" t="s">
        <v>7</v>
      </c>
      <c r="C27" s="82" t="s">
        <v>30</v>
      </c>
      <c r="D27" s="61">
        <v>0.53864047647586299</v>
      </c>
      <c r="E27" s="70">
        <v>0.23932598257850013</v>
      </c>
      <c r="F27" s="62">
        <v>0.58522556326513953</v>
      </c>
      <c r="G27" s="70">
        <v>0.21807843710202973</v>
      </c>
      <c r="H27" s="62">
        <v>0.63504087912330365</v>
      </c>
      <c r="I27" s="70">
        <v>0.19132651254658312</v>
      </c>
      <c r="J27" s="62">
        <v>0.59467554214882079</v>
      </c>
      <c r="K27" s="70">
        <v>0.26706348853792522</v>
      </c>
      <c r="L27" s="62">
        <v>0.62975864547945937</v>
      </c>
      <c r="M27" s="62">
        <v>0.24498611351164204</v>
      </c>
      <c r="N27" s="25">
        <v>0.60108562305118496</v>
      </c>
      <c r="O27" s="62">
        <v>0.28671464354850618</v>
      </c>
      <c r="P27" s="25">
        <v>0.61410889937402202</v>
      </c>
      <c r="Q27" s="62">
        <v>0.28272342077448831</v>
      </c>
      <c r="R27" s="25">
        <v>0.59746388399318096</v>
      </c>
      <c r="S27" s="70">
        <v>0.31043935746836587</v>
      </c>
      <c r="T27" s="62">
        <v>0.64649735418082266</v>
      </c>
      <c r="U27" s="70">
        <v>0.25031038581337944</v>
      </c>
      <c r="V27" s="62">
        <v>0.54946944049001467</v>
      </c>
      <c r="W27" s="70">
        <v>0.33030958170788216</v>
      </c>
      <c r="X27" s="62">
        <v>0.4954732312892543</v>
      </c>
      <c r="Y27" s="26">
        <v>0.38865532897402139</v>
      </c>
      <c r="Z27" s="61">
        <v>0.58041264450796337</v>
      </c>
      <c r="AA27" s="26">
        <v>0.28689978293305257</v>
      </c>
    </row>
    <row r="28" spans="2:37">
      <c r="B28" s="142"/>
      <c r="C28" s="81" t="s">
        <v>38</v>
      </c>
      <c r="D28" s="8">
        <v>0.70762873499601064</v>
      </c>
      <c r="E28" s="69">
        <v>9.4494619329822491E-2</v>
      </c>
      <c r="F28" s="9">
        <v>0.73463276195686511</v>
      </c>
      <c r="G28" s="69">
        <v>8.6219618084793934E-2</v>
      </c>
      <c r="H28" s="9">
        <v>0.7574334658775661</v>
      </c>
      <c r="I28" s="69">
        <v>8.0827662661404273E-2</v>
      </c>
      <c r="J28" s="9">
        <v>0.77072734778816654</v>
      </c>
      <c r="K28" s="69">
        <v>8.2168169028107585E-2</v>
      </c>
      <c r="L28" s="9">
        <v>0.79132371274882518</v>
      </c>
      <c r="M28" s="9">
        <v>7.121537442716977E-2</v>
      </c>
      <c r="N28" s="13">
        <v>0.79489443439234064</v>
      </c>
      <c r="O28" s="9">
        <v>7.6424216563041963E-2</v>
      </c>
      <c r="P28" s="13">
        <v>0.80470083510737</v>
      </c>
      <c r="Q28" s="9">
        <v>7.218980625123729E-2</v>
      </c>
      <c r="R28" s="13">
        <v>0.80206984291668038</v>
      </c>
      <c r="S28" s="69">
        <v>6.9813140933458293E-2</v>
      </c>
      <c r="T28" s="9">
        <v>0.73088743878653994</v>
      </c>
      <c r="U28" s="69">
        <v>0.14067050047352897</v>
      </c>
      <c r="V28" s="9">
        <v>0.661028035290954</v>
      </c>
      <c r="W28" s="69">
        <v>0.19640987094859885</v>
      </c>
      <c r="X28" s="9">
        <v>0.6160645492423199</v>
      </c>
      <c r="Y28" s="10">
        <v>0.20456712661594414</v>
      </c>
      <c r="Z28" s="8">
        <v>0.75083339393027582</v>
      </c>
      <c r="AA28" s="10">
        <v>0.10889890090399792</v>
      </c>
    </row>
    <row r="29" spans="2:37" ht="15.75" thickBot="1">
      <c r="B29" s="143"/>
      <c r="C29" s="83" t="s">
        <v>31</v>
      </c>
      <c r="D29" s="8">
        <v>0.60999146826704076</v>
      </c>
      <c r="E29" s="69">
        <v>0.1824019289174055</v>
      </c>
      <c r="F29" s="9">
        <v>0.61101363494420546</v>
      </c>
      <c r="G29" s="69">
        <v>0.19762865923157263</v>
      </c>
      <c r="H29" s="9">
        <v>0.63859688618958199</v>
      </c>
      <c r="I29" s="69">
        <v>0.18007207272894571</v>
      </c>
      <c r="J29" s="9">
        <v>0.67423854466070676</v>
      </c>
      <c r="K29" s="69">
        <v>0.16457028817891584</v>
      </c>
      <c r="L29" s="9">
        <v>0.68310629944083434</v>
      </c>
      <c r="M29" s="9">
        <v>0.16435191581924544</v>
      </c>
      <c r="N29" s="13">
        <v>0.70267588884881194</v>
      </c>
      <c r="O29" s="9">
        <v>0.15346269962206152</v>
      </c>
      <c r="P29" s="13">
        <v>0.70307862190618164</v>
      </c>
      <c r="Q29" s="9">
        <v>0.15887603578510986</v>
      </c>
      <c r="R29" s="13">
        <v>0.66476046165561153</v>
      </c>
      <c r="S29" s="69">
        <v>0.23108080076184365</v>
      </c>
      <c r="T29" s="9">
        <v>0.6599300435897647</v>
      </c>
      <c r="U29" s="69">
        <v>0.21227624270360959</v>
      </c>
      <c r="V29" s="9">
        <v>0.67401723277977721</v>
      </c>
      <c r="W29" s="69">
        <v>0.16790540381910193</v>
      </c>
      <c r="X29" s="9">
        <v>0.63416326427165881</v>
      </c>
      <c r="Y29" s="10">
        <v>0.20243680861451033</v>
      </c>
      <c r="Z29" s="8">
        <v>0.65633543177791343</v>
      </c>
      <c r="AA29" s="10">
        <v>0.18924301464948159</v>
      </c>
    </row>
    <row r="30" spans="2:37" ht="15.75" thickBot="1">
      <c r="B30" s="142" t="s">
        <v>8</v>
      </c>
      <c r="C30" s="81" t="s">
        <v>30</v>
      </c>
      <c r="D30" s="61">
        <v>0.54310074584206969</v>
      </c>
      <c r="E30" s="70">
        <v>0.24120056986470656</v>
      </c>
      <c r="F30" s="62">
        <v>0.61313816232618523</v>
      </c>
      <c r="G30" s="70">
        <v>0.19334769616672684</v>
      </c>
      <c r="H30" s="62">
        <v>0.63696779661472558</v>
      </c>
      <c r="I30" s="70">
        <v>0.19475688344828818</v>
      </c>
      <c r="J30" s="62">
        <v>0.62914598113296061</v>
      </c>
      <c r="K30" s="70">
        <v>0.23806197965619674</v>
      </c>
      <c r="L30" s="62">
        <v>0.62519888291911041</v>
      </c>
      <c r="M30" s="62">
        <v>0.25992503044318294</v>
      </c>
      <c r="N30" s="25">
        <v>0.61360208094154911</v>
      </c>
      <c r="O30" s="62">
        <v>0.26662345010571231</v>
      </c>
      <c r="P30" s="25">
        <v>0.63706125576182249</v>
      </c>
      <c r="Q30" s="62">
        <v>0.24951506094668768</v>
      </c>
      <c r="R30" s="25">
        <v>0.54591910856240722</v>
      </c>
      <c r="S30" s="70">
        <v>0.35355840083224771</v>
      </c>
      <c r="T30" s="62">
        <v>0.59597509811326677</v>
      </c>
      <c r="U30" s="70">
        <v>0.29167873691107199</v>
      </c>
      <c r="V30" s="62">
        <v>0.52724112709535453</v>
      </c>
      <c r="W30" s="70">
        <v>0.35000013202601266</v>
      </c>
      <c r="X30" s="62">
        <v>0.48826340725961359</v>
      </c>
      <c r="Y30" s="26">
        <v>0.3751873653333998</v>
      </c>
      <c r="Z30" s="61">
        <v>0.58871217552133226</v>
      </c>
      <c r="AA30" s="26">
        <v>0.27295270029766849</v>
      </c>
      <c r="AC30" s="36"/>
      <c r="AD30" s="43" t="s">
        <v>29</v>
      </c>
      <c r="AE30" s="44"/>
      <c r="AF30" s="45"/>
      <c r="AH30" s="137" t="s">
        <v>42</v>
      </c>
      <c r="AI30" s="137"/>
      <c r="AJ30" s="137"/>
    </row>
    <row r="31" spans="2:37">
      <c r="B31" s="142"/>
      <c r="C31" s="81" t="s">
        <v>38</v>
      </c>
      <c r="D31" s="8">
        <v>0.71119623948578636</v>
      </c>
      <c r="E31" s="69">
        <v>9.7633660020500293E-2</v>
      </c>
      <c r="F31" s="9">
        <v>0.74569414638992781</v>
      </c>
      <c r="G31" s="69">
        <v>7.3512976646474576E-2</v>
      </c>
      <c r="H31" s="9">
        <v>0.76597269460420236</v>
      </c>
      <c r="I31" s="69">
        <v>7.1574726470369221E-2</v>
      </c>
      <c r="J31" s="9">
        <v>0.78542835390245658</v>
      </c>
      <c r="K31" s="69">
        <v>7.2075275412822118E-2</v>
      </c>
      <c r="L31" s="9">
        <v>0.80293468847043936</v>
      </c>
      <c r="M31" s="9">
        <v>6.9002199103219558E-2</v>
      </c>
      <c r="N31" s="13">
        <v>0.80882722568622867</v>
      </c>
      <c r="O31" s="9">
        <v>6.1559964156289781E-2</v>
      </c>
      <c r="P31" s="13">
        <v>0.81325564347480961</v>
      </c>
      <c r="Q31" s="9">
        <v>6.4351935576506064E-2</v>
      </c>
      <c r="R31" s="13">
        <v>0.8129456280278865</v>
      </c>
      <c r="S31" s="69">
        <v>5.749085894609262E-2</v>
      </c>
      <c r="T31" s="9">
        <v>0.76210185015776721</v>
      </c>
      <c r="U31" s="69">
        <v>0.121628101036434</v>
      </c>
      <c r="V31" s="9">
        <v>0.66989997315397543</v>
      </c>
      <c r="W31" s="69">
        <v>0.18974727732365759</v>
      </c>
      <c r="X31" s="9">
        <v>0.5985210588738461</v>
      </c>
      <c r="Y31" s="10">
        <v>0.2240235859203458</v>
      </c>
      <c r="Z31" s="8">
        <v>0.76511394902856822</v>
      </c>
      <c r="AA31" s="10">
        <v>9.9609080250814899E-2</v>
      </c>
      <c r="AC31" s="37" t="s">
        <v>30</v>
      </c>
      <c r="AD31" s="2">
        <v>45</v>
      </c>
      <c r="AE31" s="2"/>
      <c r="AF31" s="40"/>
      <c r="AH31" s="137" t="s">
        <v>45</v>
      </c>
      <c r="AI31" s="137"/>
      <c r="AJ31" s="137"/>
      <c r="AK31" s="137"/>
    </row>
    <row r="32" spans="2:37" ht="15.75" thickBot="1">
      <c r="B32" s="142"/>
      <c r="C32" s="81" t="s">
        <v>31</v>
      </c>
      <c r="D32" s="8">
        <v>0.57510929407926348</v>
      </c>
      <c r="E32" s="69">
        <v>0.20381339847180335</v>
      </c>
      <c r="F32" s="9">
        <v>0.59810889392610733</v>
      </c>
      <c r="G32" s="69">
        <v>0.20272732356903259</v>
      </c>
      <c r="H32" s="9">
        <v>0.62945242181963246</v>
      </c>
      <c r="I32" s="69">
        <v>0.19193803886356831</v>
      </c>
      <c r="J32" s="9">
        <v>0.66755390387562474</v>
      </c>
      <c r="K32" s="69">
        <v>0.17357382226534923</v>
      </c>
      <c r="L32" s="9">
        <v>0.67915570621041876</v>
      </c>
      <c r="M32" s="9">
        <v>0.14861763309219403</v>
      </c>
      <c r="N32" s="13">
        <v>0.68502610765564764</v>
      </c>
      <c r="O32" s="9">
        <v>0.16815922789795093</v>
      </c>
      <c r="P32" s="13">
        <v>0.70922347854220191</v>
      </c>
      <c r="Q32" s="9">
        <v>0.14683707591930001</v>
      </c>
      <c r="R32" s="13">
        <v>0.68866523169957516</v>
      </c>
      <c r="S32" s="69">
        <v>0.18377762184884927</v>
      </c>
      <c r="T32" s="9">
        <v>0.62996581586675449</v>
      </c>
      <c r="U32" s="69">
        <v>0.24758468781496584</v>
      </c>
      <c r="V32" s="9">
        <v>0.66113990012788182</v>
      </c>
      <c r="W32" s="69">
        <v>0.19081203906890823</v>
      </c>
      <c r="X32" s="9">
        <v>0.60525625341488298</v>
      </c>
      <c r="Y32" s="10">
        <v>0.23874274273829654</v>
      </c>
      <c r="Z32" s="21">
        <v>0.64385747723673281</v>
      </c>
      <c r="AA32" s="24">
        <v>0.19875948554472422</v>
      </c>
      <c r="AC32" s="41" t="s">
        <v>32</v>
      </c>
      <c r="AD32" s="2">
        <v>54</v>
      </c>
      <c r="AE32" s="2"/>
      <c r="AF32" s="40"/>
      <c r="AH32" s="137" t="s">
        <v>46</v>
      </c>
      <c r="AI32" s="137"/>
      <c r="AJ32" s="137"/>
      <c r="AK32" s="137"/>
    </row>
    <row r="33" spans="2:32" ht="15.75" thickBot="1">
      <c r="B33" s="141" t="s">
        <v>9</v>
      </c>
      <c r="C33" s="82" t="s">
        <v>30</v>
      </c>
      <c r="D33" s="61">
        <v>0.44052639521087567</v>
      </c>
      <c r="E33" s="70">
        <v>0.29197252461676115</v>
      </c>
      <c r="F33" s="62">
        <v>0.41322559862302871</v>
      </c>
      <c r="G33" s="70">
        <v>0.36438678779018785</v>
      </c>
      <c r="H33" s="62">
        <v>0.48000207484956436</v>
      </c>
      <c r="I33" s="70">
        <v>0.28039611078140109</v>
      </c>
      <c r="J33" s="62">
        <v>0.5362166157501258</v>
      </c>
      <c r="K33" s="70">
        <v>0.26262822229045985</v>
      </c>
      <c r="L33" s="62">
        <v>0.50839979488114961</v>
      </c>
      <c r="M33" s="62">
        <v>0.25839838418011107</v>
      </c>
      <c r="N33" s="25">
        <v>0.53661935187304555</v>
      </c>
      <c r="O33" s="62">
        <v>0.28550593585358625</v>
      </c>
      <c r="P33" s="25">
        <v>0.55603278858978711</v>
      </c>
      <c r="Q33" s="62">
        <v>0.31712084591557788</v>
      </c>
      <c r="R33" s="25">
        <v>0.4769854269866351</v>
      </c>
      <c r="S33" s="70">
        <v>0.3467973811031535</v>
      </c>
      <c r="T33" s="62">
        <v>0.42956633340786143</v>
      </c>
      <c r="U33" s="70">
        <v>0.45435313029855778</v>
      </c>
      <c r="V33" s="62">
        <v>0.36484363080178728</v>
      </c>
      <c r="W33" s="70">
        <v>0.43014882825845308</v>
      </c>
      <c r="X33" s="62">
        <v>0.28239549841288641</v>
      </c>
      <c r="Y33" s="26">
        <v>0.51309972314621788</v>
      </c>
      <c r="Z33" s="61">
        <v>0.44279663654364088</v>
      </c>
      <c r="AA33" s="26">
        <v>0.36586142514701475</v>
      </c>
      <c r="AC33" s="42" t="s">
        <v>31</v>
      </c>
      <c r="AD33" s="35">
        <v>56</v>
      </c>
      <c r="AE33" s="35"/>
      <c r="AF33" s="36"/>
    </row>
    <row r="34" spans="2:32" ht="15.75" thickBot="1">
      <c r="B34" s="142"/>
      <c r="C34" s="81" t="s">
        <v>38</v>
      </c>
      <c r="D34" s="8">
        <v>0.67481290098859115</v>
      </c>
      <c r="E34" s="69">
        <v>0.11165575180962284</v>
      </c>
      <c r="F34" s="9">
        <v>0.72261031380263019</v>
      </c>
      <c r="G34" s="69">
        <v>9.4279923083933487E-2</v>
      </c>
      <c r="H34" s="9">
        <v>0.74044618756079672</v>
      </c>
      <c r="I34" s="69">
        <v>8.1564240584335437E-2</v>
      </c>
      <c r="J34" s="9">
        <v>0.7448185830676225</v>
      </c>
      <c r="K34" s="69">
        <v>8.4512918649719312E-2</v>
      </c>
      <c r="L34" s="9">
        <v>0.79196086309049429</v>
      </c>
      <c r="M34" s="9">
        <v>6.0180019692678E-2</v>
      </c>
      <c r="N34" s="13">
        <v>0.77685159109037061</v>
      </c>
      <c r="O34" s="9">
        <v>9.0329135239892624E-2</v>
      </c>
      <c r="P34" s="13">
        <v>0.78267575893223207</v>
      </c>
      <c r="Q34" s="9">
        <v>0.10103880257056999</v>
      </c>
      <c r="R34" s="13">
        <v>0.78783350631508398</v>
      </c>
      <c r="S34" s="69">
        <v>8.4092611561714423E-2</v>
      </c>
      <c r="T34" s="9">
        <v>0.77025225467644265</v>
      </c>
      <c r="U34" s="69">
        <v>0.10447557551525216</v>
      </c>
      <c r="V34" s="9">
        <v>0.66773516060259619</v>
      </c>
      <c r="W34" s="69">
        <v>0.21377056204760322</v>
      </c>
      <c r="X34" s="9">
        <v>0.575494174838451</v>
      </c>
      <c r="Y34" s="10">
        <v>0.26659782054756648</v>
      </c>
      <c r="Z34" s="8">
        <v>0.73925845246986288</v>
      </c>
      <c r="AA34" s="10">
        <v>0.1161369031175172</v>
      </c>
      <c r="AC34" s="46" t="s">
        <v>33</v>
      </c>
      <c r="AD34" s="44">
        <f>SUM(AD31:AD33)</f>
        <v>155</v>
      </c>
      <c r="AE34" s="44"/>
      <c r="AF34" s="45"/>
    </row>
    <row r="35" spans="2:32" ht="15.75" thickBot="1">
      <c r="B35" s="143"/>
      <c r="C35" s="83" t="s">
        <v>31</v>
      </c>
      <c r="D35" s="8">
        <v>0.63341439438847613</v>
      </c>
      <c r="E35" s="69">
        <v>0.1472701932859318</v>
      </c>
      <c r="F35" s="9">
        <v>0.6566731952389635</v>
      </c>
      <c r="G35" s="69">
        <v>0.15920360828346486</v>
      </c>
      <c r="H35" s="9">
        <v>0.6728071982832925</v>
      </c>
      <c r="I35" s="69">
        <v>0.16477141017367689</v>
      </c>
      <c r="J35" s="9">
        <v>0.67730590917302946</v>
      </c>
      <c r="K35" s="69">
        <v>0.13300591656311136</v>
      </c>
      <c r="L35" s="9">
        <v>0.67738778680156586</v>
      </c>
      <c r="M35" s="9">
        <v>0.15773157489669271</v>
      </c>
      <c r="N35" s="13">
        <v>0.69416324598949897</v>
      </c>
      <c r="O35" s="9">
        <v>0.15141273549346101</v>
      </c>
      <c r="P35" s="13">
        <v>0.668072665815449</v>
      </c>
      <c r="Q35" s="9">
        <v>0.19681827947220959</v>
      </c>
      <c r="R35" s="13">
        <v>0.68090562357907869</v>
      </c>
      <c r="S35" s="69">
        <v>0.16112887201176865</v>
      </c>
      <c r="T35" s="9">
        <v>0.63481281966204206</v>
      </c>
      <c r="U35" s="69">
        <v>0.22293498319084862</v>
      </c>
      <c r="V35" s="9">
        <v>0.56603966144613715</v>
      </c>
      <c r="W35" s="69">
        <v>0.27351112661858229</v>
      </c>
      <c r="X35" s="9">
        <v>0.59320660266371283</v>
      </c>
      <c r="Y35" s="10">
        <v>0.23702811344307098</v>
      </c>
      <c r="Z35" s="21">
        <v>0.65169279988826989</v>
      </c>
      <c r="AA35" s="24">
        <v>0.18496938227242821</v>
      </c>
    </row>
    <row r="36" spans="2:32">
      <c r="B36" s="142" t="s">
        <v>10</v>
      </c>
      <c r="C36" s="81" t="s">
        <v>30</v>
      </c>
      <c r="D36" s="61">
        <v>0.52460555252531127</v>
      </c>
      <c r="E36" s="70">
        <v>0.25050741164618257</v>
      </c>
      <c r="F36" s="62">
        <v>0.60543807336845623</v>
      </c>
      <c r="G36" s="70">
        <v>0.20628046768255345</v>
      </c>
      <c r="H36" s="62">
        <v>0.62013591470019636</v>
      </c>
      <c r="I36" s="70">
        <v>0.1991815572256288</v>
      </c>
      <c r="J36" s="62">
        <v>0.60589698774682843</v>
      </c>
      <c r="K36" s="70">
        <v>0.24470376865879448</v>
      </c>
      <c r="L36" s="62">
        <v>0.64285046231165854</v>
      </c>
      <c r="M36" s="62">
        <v>0.24714803412525213</v>
      </c>
      <c r="N36" s="66">
        <v>0.6146234580337725</v>
      </c>
      <c r="O36" s="67">
        <v>0.2506728948705349</v>
      </c>
      <c r="P36" s="66">
        <v>0.58837981538568407</v>
      </c>
      <c r="Q36" s="67">
        <v>0.30322767056582767</v>
      </c>
      <c r="R36" s="25">
        <v>0.50919871676746986</v>
      </c>
      <c r="S36" s="70">
        <v>0.40055032355302628</v>
      </c>
      <c r="T36" s="62">
        <v>0.6120591739685981</v>
      </c>
      <c r="U36" s="70">
        <v>0.29259295137635916</v>
      </c>
      <c r="V36" s="62">
        <v>0.50060604966449596</v>
      </c>
      <c r="W36" s="70">
        <v>0.41618504408511725</v>
      </c>
      <c r="X36" s="62">
        <v>0.54595265483816813</v>
      </c>
      <c r="Y36" s="26">
        <v>0.33763932009899938</v>
      </c>
      <c r="Z36" s="91">
        <v>0.57425588931458638</v>
      </c>
      <c r="AA36" s="92">
        <v>0.29233099383079614</v>
      </c>
    </row>
    <row r="37" spans="2:32">
      <c r="B37" s="142"/>
      <c r="C37" s="81" t="s">
        <v>38</v>
      </c>
      <c r="D37" s="8">
        <v>0.7187369373096415</v>
      </c>
      <c r="E37" s="69">
        <v>9.2405965427300493E-2</v>
      </c>
      <c r="F37" s="9">
        <v>0.7488224423015174</v>
      </c>
      <c r="G37" s="69">
        <v>8.0169949771413743E-2</v>
      </c>
      <c r="H37" s="9">
        <v>0.76763454249370433</v>
      </c>
      <c r="I37" s="69">
        <v>7.3268094679176499E-2</v>
      </c>
      <c r="J37" s="9">
        <v>0.78981761360300717</v>
      </c>
      <c r="K37" s="69">
        <v>6.4297087811972381E-2</v>
      </c>
      <c r="L37" s="9">
        <v>0.80644959925792847</v>
      </c>
      <c r="M37" s="9">
        <v>5.6590285079388319E-2</v>
      </c>
      <c r="N37" s="15">
        <v>0.82174564276933271</v>
      </c>
      <c r="O37" s="28">
        <v>4.1483928446872362E-2</v>
      </c>
      <c r="P37" s="15">
        <v>0.81723558459670642</v>
      </c>
      <c r="Q37" s="28">
        <v>5.3505524119055327E-2</v>
      </c>
      <c r="R37" s="13">
        <v>0.80593829768135583</v>
      </c>
      <c r="S37" s="69">
        <v>6.7862929657608873E-2</v>
      </c>
      <c r="T37" s="9">
        <v>0.77575280083357923</v>
      </c>
      <c r="U37" s="69">
        <v>9.4775316975381996E-2</v>
      </c>
      <c r="V37" s="9">
        <v>0.71698967780953904</v>
      </c>
      <c r="W37" s="69">
        <v>0.13694965178324456</v>
      </c>
      <c r="X37" s="9">
        <v>0.62532483322813148</v>
      </c>
      <c r="Y37" s="10">
        <v>0.21054734009097689</v>
      </c>
      <c r="Z37" s="93">
        <v>0.77017061178952995</v>
      </c>
      <c r="AA37" s="59">
        <v>9.3236599896332428E-2</v>
      </c>
    </row>
    <row r="38" spans="2:32" ht="15.75" thickBot="1">
      <c r="B38" s="143"/>
      <c r="C38" s="83" t="s">
        <v>31</v>
      </c>
      <c r="D38" s="11">
        <v>0.63800347216745468</v>
      </c>
      <c r="E38" s="72">
        <v>0.17349661974757755</v>
      </c>
      <c r="F38" s="12">
        <v>0.66618244425338791</v>
      </c>
      <c r="G38" s="72">
        <v>0.16029455641126128</v>
      </c>
      <c r="H38" s="12">
        <v>0.67323101613862435</v>
      </c>
      <c r="I38" s="72">
        <v>0.16663697418354581</v>
      </c>
      <c r="J38" s="12">
        <v>0.69677932715595714</v>
      </c>
      <c r="K38" s="72">
        <v>0.15791906838404374</v>
      </c>
      <c r="L38" s="12">
        <v>0.70809310693459182</v>
      </c>
      <c r="M38" s="12">
        <v>0.14520456815080762</v>
      </c>
      <c r="N38" s="16">
        <v>0.72989309659399471</v>
      </c>
      <c r="O38" s="29">
        <v>0.143208737894153</v>
      </c>
      <c r="P38" s="16">
        <v>0.73442289870706379</v>
      </c>
      <c r="Q38" s="29">
        <v>0.14974913129632336</v>
      </c>
      <c r="R38" s="14">
        <v>0.70456490575477981</v>
      </c>
      <c r="S38" s="72">
        <v>0.18720992820480889</v>
      </c>
      <c r="T38" s="12">
        <v>0.74033258857665729</v>
      </c>
      <c r="U38" s="72">
        <v>0.1363049884107084</v>
      </c>
      <c r="V38" s="12">
        <v>0.71739554178855069</v>
      </c>
      <c r="W38" s="72">
        <v>0.15910402513085595</v>
      </c>
      <c r="X38" s="12">
        <v>0.63981255746413956</v>
      </c>
      <c r="Y38" s="47">
        <v>0.22000802806868616</v>
      </c>
      <c r="Z38" s="48">
        <v>0.6917686012474733</v>
      </c>
      <c r="AA38" s="49">
        <v>0.17073899529541081</v>
      </c>
    </row>
    <row r="39" spans="2:32">
      <c r="B39" s="141" t="s">
        <v>47</v>
      </c>
      <c r="C39" s="84" t="s">
        <v>30</v>
      </c>
      <c r="D39" s="17">
        <v>0.45689213488968067</v>
      </c>
      <c r="E39" s="68">
        <v>0.28781007489238131</v>
      </c>
      <c r="F39" s="19">
        <v>0.48206073726857929</v>
      </c>
      <c r="G39" s="68">
        <v>0.30677579339079186</v>
      </c>
      <c r="H39" s="19">
        <v>0.52045725409223698</v>
      </c>
      <c r="I39" s="68">
        <v>0.28730577682895647</v>
      </c>
      <c r="J39" s="19">
        <v>0.51650888892094282</v>
      </c>
      <c r="K39" s="68">
        <v>0.307370432866721</v>
      </c>
      <c r="L39" s="19">
        <v>0.54191011723583637</v>
      </c>
      <c r="M39" s="68">
        <v>0.29835998739107711</v>
      </c>
      <c r="N39" s="31">
        <v>0.5369508190712734</v>
      </c>
      <c r="O39" s="88">
        <v>0.32186474130193932</v>
      </c>
      <c r="P39" s="31">
        <v>0.51888058383470725</v>
      </c>
      <c r="Q39" s="88">
        <v>0.3496737810217419</v>
      </c>
      <c r="R39" s="19">
        <v>0.49553377183758801</v>
      </c>
      <c r="S39" s="68">
        <v>0.37305064823056555</v>
      </c>
      <c r="T39" s="19">
        <v>0.47269148206148726</v>
      </c>
      <c r="U39" s="68">
        <v>0.401010634693857</v>
      </c>
      <c r="V39" s="19">
        <v>0.39140546029622636</v>
      </c>
      <c r="W39" s="68">
        <v>0.47958880023908429</v>
      </c>
      <c r="X39" s="19">
        <v>0.32299731508224672</v>
      </c>
      <c r="Y39" s="20">
        <v>0.53421112622296363</v>
      </c>
      <c r="Z39" s="17">
        <v>0.46891263154404061</v>
      </c>
      <c r="AA39" s="20">
        <v>0.3702316423952256</v>
      </c>
    </row>
    <row r="40" spans="2:32">
      <c r="B40" s="142"/>
      <c r="C40" s="85" t="s">
        <v>38</v>
      </c>
      <c r="D40" s="8">
        <v>0.67836798526564301</v>
      </c>
      <c r="E40" s="69">
        <v>0.12721833272934821</v>
      </c>
      <c r="F40" s="9">
        <v>0.7112388085440422</v>
      </c>
      <c r="G40" s="69">
        <v>0.108613652314238</v>
      </c>
      <c r="H40" s="9">
        <v>0.73575053789534417</v>
      </c>
      <c r="I40" s="69">
        <v>9.5664608365114076E-2</v>
      </c>
      <c r="J40" s="9">
        <v>0.75816138542538447</v>
      </c>
      <c r="K40" s="69">
        <v>9.0493537008069405E-2</v>
      </c>
      <c r="L40" s="9">
        <v>0.76952960665100623</v>
      </c>
      <c r="M40" s="69">
        <v>9.8548660962348239E-2</v>
      </c>
      <c r="N40" s="28">
        <v>0.78006724467364108</v>
      </c>
      <c r="O40" s="89">
        <v>9.8707755117960164E-2</v>
      </c>
      <c r="P40" s="28">
        <v>0.79336820758751148</v>
      </c>
      <c r="Q40" s="89">
        <v>9.0553349200494099E-2</v>
      </c>
      <c r="R40" s="9">
        <v>0.76791053993145741</v>
      </c>
      <c r="S40" s="69">
        <v>0.1200587114207419</v>
      </c>
      <c r="T40" s="9">
        <v>0.69801714991787844</v>
      </c>
      <c r="U40" s="69">
        <v>0.18927610963990008</v>
      </c>
      <c r="V40" s="9">
        <v>0.63306316113998218</v>
      </c>
      <c r="W40" s="69">
        <v>0.23072846831995808</v>
      </c>
      <c r="X40" s="9">
        <v>0.56285921706611097</v>
      </c>
      <c r="Y40" s="10">
        <v>0.28216080788450304</v>
      </c>
      <c r="Z40" s="8">
        <v>0.72033365523572057</v>
      </c>
      <c r="AA40" s="10">
        <v>0.14454133963465954</v>
      </c>
    </row>
    <row r="41" spans="2:32" ht="15.75" thickBot="1">
      <c r="B41" s="143"/>
      <c r="C41" s="86" t="s">
        <v>31</v>
      </c>
      <c r="D41" s="11">
        <v>0.53989530941101183</v>
      </c>
      <c r="E41" s="72">
        <v>0.23279038753206019</v>
      </c>
      <c r="F41" s="12">
        <v>0.55267495848304482</v>
      </c>
      <c r="G41" s="72">
        <v>0.23555399180794903</v>
      </c>
      <c r="H41" s="12">
        <v>0.5578401706626166</v>
      </c>
      <c r="I41" s="72">
        <v>0.25415268112866968</v>
      </c>
      <c r="J41" s="12">
        <v>0.58292118581400598</v>
      </c>
      <c r="K41" s="72">
        <v>0.24394901155910903</v>
      </c>
      <c r="L41" s="12">
        <v>0.58509797799134433</v>
      </c>
      <c r="M41" s="72">
        <v>0.24666370415090194</v>
      </c>
      <c r="N41" s="29">
        <v>0.57637758123224447</v>
      </c>
      <c r="O41" s="90">
        <v>0.2670430644715921</v>
      </c>
      <c r="P41" s="29">
        <v>0.60591902666807029</v>
      </c>
      <c r="Q41" s="90">
        <v>0.25100981489865054</v>
      </c>
      <c r="R41" s="12">
        <v>0.57981094265788835</v>
      </c>
      <c r="S41" s="72">
        <v>0.27755038150242717</v>
      </c>
      <c r="T41" s="12">
        <v>0.56652725132494763</v>
      </c>
      <c r="U41" s="72">
        <v>0.28617079526293882</v>
      </c>
      <c r="V41" s="12">
        <v>0.50413834711322081</v>
      </c>
      <c r="W41" s="72">
        <v>0.34032252872223323</v>
      </c>
      <c r="X41" s="12">
        <v>0.46017160503633303</v>
      </c>
      <c r="Y41" s="47">
        <v>0.35569439340151832</v>
      </c>
      <c r="Z41" s="11">
        <v>0.55208434811286344</v>
      </c>
      <c r="AA41" s="47">
        <v>0.27740762493487203</v>
      </c>
    </row>
    <row r="42" spans="2:32" ht="15.75" thickBot="1"/>
    <row r="43" spans="2:32" ht="15.75" thickBot="1">
      <c r="G43" s="138" t="s">
        <v>39</v>
      </c>
      <c r="H43" s="139"/>
      <c r="I43" s="139"/>
      <c r="J43" s="139"/>
      <c r="K43" s="139"/>
      <c r="L43" s="139"/>
      <c r="M43" s="139"/>
      <c r="N43" s="139"/>
      <c r="O43" s="139"/>
      <c r="P43" s="139"/>
      <c r="Q43" s="140"/>
      <c r="S43" s="1" t="s">
        <v>28</v>
      </c>
    </row>
    <row r="44" spans="2:32">
      <c r="F44" s="97" t="s">
        <v>23</v>
      </c>
      <c r="G44" s="63">
        <v>5</v>
      </c>
      <c r="H44" s="34">
        <v>6</v>
      </c>
      <c r="I44" s="34">
        <v>7</v>
      </c>
      <c r="J44" s="34">
        <v>8</v>
      </c>
      <c r="K44" s="34">
        <v>9</v>
      </c>
      <c r="L44" s="34">
        <v>10</v>
      </c>
      <c r="M44" s="34">
        <v>11</v>
      </c>
      <c r="N44" s="34">
        <v>12</v>
      </c>
      <c r="O44" s="34">
        <v>13</v>
      </c>
      <c r="P44" s="34">
        <v>14</v>
      </c>
      <c r="Q44" s="7">
        <v>15</v>
      </c>
    </row>
    <row r="45" spans="2:32" ht="15.75" thickBot="1">
      <c r="F45" s="98" t="s">
        <v>27</v>
      </c>
      <c r="G45" s="64">
        <f>CORREL(D6:D38,E6:E38)</f>
        <v>-0.95511342058157045</v>
      </c>
      <c r="H45" s="35">
        <f>CORREL(F6:F38,G6:G38)</f>
        <v>-0.96523501096343456</v>
      </c>
      <c r="I45" s="35">
        <f>CORREL(H6:H38,I6:I38)</f>
        <v>-0.97765892566668156</v>
      </c>
      <c r="J45" s="35">
        <f>CORREL(J6:J38,K6:K38)</f>
        <v>-0.97996771632168234</v>
      </c>
      <c r="K45" s="35">
        <f>CORREL(L6:L38,M6:M38)</f>
        <v>-0.96250352950816809</v>
      </c>
      <c r="L45" s="35">
        <f>CORREL(N6:N38,O6:O38)</f>
        <v>-0.97409815279051382</v>
      </c>
      <c r="M45" s="35">
        <f>CORREL(P6:P38,Q6:Q38)</f>
        <v>-0.98382690375976256</v>
      </c>
      <c r="N45" s="35">
        <f>CORREL(R6:R38,S6:S38)</f>
        <v>-0.97543443295502086</v>
      </c>
      <c r="O45" s="35">
        <f>CORREL(T6:T38,U6:U38)</f>
        <v>-0.97688148993342638</v>
      </c>
      <c r="P45" s="35">
        <f>CORREL(V6:V38,W6:W38)</f>
        <v>-0.97506556255088628</v>
      </c>
      <c r="Q45" s="36">
        <f>CORREL(X6:X38,Y6:Y38)</f>
        <v>-0.95754788834845439</v>
      </c>
    </row>
    <row r="47" spans="2:32" ht="15.75" thickBot="1"/>
    <row r="48" spans="2:32" ht="18.75">
      <c r="C48" s="134" t="s">
        <v>13</v>
      </c>
      <c r="D48" s="131">
        <v>5</v>
      </c>
      <c r="E48" s="132"/>
      <c r="F48" s="132"/>
      <c r="G48" s="132"/>
      <c r="H48" s="132"/>
      <c r="I48" s="133"/>
    </row>
    <row r="49" spans="3:10">
      <c r="C49" s="135"/>
      <c r="D49" s="127" t="s">
        <v>50</v>
      </c>
      <c r="E49" s="128"/>
      <c r="F49" s="129"/>
      <c r="G49" s="128" t="s">
        <v>41</v>
      </c>
      <c r="H49" s="128"/>
      <c r="I49" s="130"/>
    </row>
    <row r="50" spans="3:10" ht="15.75" thickBot="1">
      <c r="C50" s="136"/>
      <c r="D50" s="108" t="s">
        <v>30</v>
      </c>
      <c r="E50" s="109" t="s">
        <v>32</v>
      </c>
      <c r="F50" s="112" t="s">
        <v>31</v>
      </c>
      <c r="G50" s="109" t="s">
        <v>30</v>
      </c>
      <c r="H50" s="109" t="s">
        <v>32</v>
      </c>
      <c r="I50" s="110" t="s">
        <v>31</v>
      </c>
    </row>
    <row r="51" spans="3:10">
      <c r="C51" s="85" t="s">
        <v>11</v>
      </c>
      <c r="D51" s="17">
        <f>D6</f>
        <v>0.55433420844796311</v>
      </c>
      <c r="E51" s="111">
        <f>D7</f>
        <v>0.745637183295637</v>
      </c>
      <c r="F51" s="68">
        <f>D8</f>
        <v>0.58013498326800095</v>
      </c>
      <c r="G51" s="19">
        <f>E6</f>
        <v>0.26466797954411936</v>
      </c>
      <c r="H51" s="111">
        <f>E7</f>
        <v>8.3377996240183591E-2</v>
      </c>
      <c r="I51" s="20">
        <f>E8</f>
        <v>0.24173230953484362</v>
      </c>
      <c r="J51" s="87">
        <f>F6</f>
        <v>0.59299412151839548</v>
      </c>
    </row>
    <row r="52" spans="3:10">
      <c r="C52" s="85" t="s">
        <v>1</v>
      </c>
      <c r="D52" s="8">
        <f>D9</f>
        <v>0.46553522926456486</v>
      </c>
      <c r="E52" s="9">
        <f>D10</f>
        <v>0.66896492716025158</v>
      </c>
      <c r="F52" s="69">
        <f>D11</f>
        <v>0.45802943723316136</v>
      </c>
      <c r="G52" s="9">
        <f>E9</f>
        <v>0.25328808349551962</v>
      </c>
      <c r="H52" s="9">
        <f>E10</f>
        <v>0.12249392688670654</v>
      </c>
      <c r="I52" s="10">
        <f>E11</f>
        <v>0.30200029624251978</v>
      </c>
      <c r="J52" s="87">
        <f>F9</f>
        <v>0.37308004842593634</v>
      </c>
    </row>
    <row r="53" spans="3:10">
      <c r="C53" s="85" t="s">
        <v>2</v>
      </c>
      <c r="D53" s="8">
        <f>D12</f>
        <v>0.35800134333376493</v>
      </c>
      <c r="E53" s="9">
        <f>D13</f>
        <v>0.57618600546018728</v>
      </c>
      <c r="F53" s="69">
        <f>D14</f>
        <v>0.49049350863985292</v>
      </c>
      <c r="G53" s="9">
        <f>E12</f>
        <v>0.33034960595754442</v>
      </c>
      <c r="H53" s="9">
        <f>E13</f>
        <v>0.22249012139295629</v>
      </c>
      <c r="I53" s="10">
        <f>E14</f>
        <v>0.24137337480238499</v>
      </c>
      <c r="J53" s="87">
        <f>F12</f>
        <v>0.42689926704914866</v>
      </c>
    </row>
    <row r="54" spans="3:10">
      <c r="C54" s="85" t="s">
        <v>3</v>
      </c>
      <c r="D54" s="8">
        <f>D15</f>
        <v>0.36882832989415881</v>
      </c>
      <c r="E54" s="9">
        <f>D16</f>
        <v>0.59745007429793384</v>
      </c>
      <c r="F54" s="69">
        <f>D17</f>
        <v>0.47794534411518352</v>
      </c>
      <c r="G54" s="9">
        <f>E15</f>
        <v>0.31465189075462185</v>
      </c>
      <c r="H54" s="9">
        <f>E16</f>
        <v>0.15408574760067154</v>
      </c>
      <c r="I54" s="10">
        <f>E17</f>
        <v>0.24051302678536543</v>
      </c>
      <c r="J54" s="87"/>
    </row>
    <row r="55" spans="3:10">
      <c r="C55" s="85" t="s">
        <v>4</v>
      </c>
      <c r="D55" s="8">
        <f>D18</f>
        <v>0.48485775579064072</v>
      </c>
      <c r="E55" s="9">
        <f>D19</f>
        <v>0.66797387956496734</v>
      </c>
      <c r="F55" s="69">
        <f>D20</f>
        <v>0.52575286686190303</v>
      </c>
      <c r="G55" s="9">
        <f>E18</f>
        <v>0.27970950370119152</v>
      </c>
      <c r="H55" s="9">
        <f>E19</f>
        <v>0.12807145322149088</v>
      </c>
      <c r="I55" s="10">
        <f>E20</f>
        <v>0.19932714466157639</v>
      </c>
      <c r="J55" s="87"/>
    </row>
    <row r="56" spans="3:10">
      <c r="C56" s="85" t="s">
        <v>5</v>
      </c>
      <c r="D56" s="8">
        <f>D21</f>
        <v>0.3431962425864325</v>
      </c>
      <c r="E56" s="9">
        <f>D22</f>
        <v>0.68926329006247766</v>
      </c>
      <c r="F56" s="69">
        <f>D23</f>
        <v>0.41602031542002404</v>
      </c>
      <c r="G56" s="9">
        <f>E21</f>
        <v>0.33312007471742983</v>
      </c>
      <c r="H56" s="9">
        <f>E22</f>
        <v>0.11994800965733271</v>
      </c>
      <c r="I56" s="10">
        <f>E23</f>
        <v>0.32985986204926376</v>
      </c>
      <c r="J56" s="87"/>
    </row>
    <row r="57" spans="3:10">
      <c r="C57" s="85" t="s">
        <v>6</v>
      </c>
      <c r="D57" s="8">
        <f>D24</f>
        <v>0.46669256439806012</v>
      </c>
      <c r="E57" s="9">
        <f>D25</f>
        <v>0.6594985395461801</v>
      </c>
      <c r="F57" s="69">
        <f>D26</f>
        <v>0.4835505357437539</v>
      </c>
      <c r="G57" s="9">
        <f>E24</f>
        <v>0.22955016922867696</v>
      </c>
      <c r="H57" s="9">
        <f>E25</f>
        <v>0.14200327946977295</v>
      </c>
      <c r="I57" s="10">
        <f>E26</f>
        <v>0.30032377186414433</v>
      </c>
      <c r="J57" s="87"/>
    </row>
    <row r="58" spans="3:10">
      <c r="C58" s="85" t="s">
        <v>7</v>
      </c>
      <c r="D58" s="8">
        <f>D27</f>
        <v>0.53864047647586299</v>
      </c>
      <c r="E58" s="9">
        <f>D28</f>
        <v>0.70762873499601064</v>
      </c>
      <c r="F58" s="69">
        <f>D29</f>
        <v>0.60999146826704076</v>
      </c>
      <c r="G58" s="9">
        <f>E27</f>
        <v>0.23932598257850013</v>
      </c>
      <c r="H58" s="9">
        <f>E28</f>
        <v>9.4494619329822491E-2</v>
      </c>
      <c r="I58" s="10">
        <f>E29</f>
        <v>0.1824019289174055</v>
      </c>
      <c r="J58" s="87"/>
    </row>
    <row r="59" spans="3:10">
      <c r="C59" s="85" t="s">
        <v>8</v>
      </c>
      <c r="D59" s="8">
        <f>D30</f>
        <v>0.54310074584206969</v>
      </c>
      <c r="E59" s="9">
        <f>D31</f>
        <v>0.71119623948578636</v>
      </c>
      <c r="F59" s="69">
        <f>D32</f>
        <v>0.57510929407926348</v>
      </c>
      <c r="G59" s="9">
        <f>E30</f>
        <v>0.24120056986470656</v>
      </c>
      <c r="H59" s="9">
        <f>E31</f>
        <v>9.7633660020500293E-2</v>
      </c>
      <c r="I59" s="10">
        <f>E32</f>
        <v>0.20381339847180335</v>
      </c>
      <c r="J59" s="87"/>
    </row>
    <row r="60" spans="3:10">
      <c r="C60" s="85" t="s">
        <v>9</v>
      </c>
      <c r="D60" s="8">
        <f>D33</f>
        <v>0.44052639521087567</v>
      </c>
      <c r="E60" s="9">
        <f>D34</f>
        <v>0.67481290098859115</v>
      </c>
      <c r="F60" s="69">
        <f>D35</f>
        <v>0.63341439438847613</v>
      </c>
      <c r="G60" s="9">
        <f>E33</f>
        <v>0.29197252461676115</v>
      </c>
      <c r="H60" s="9">
        <f>E34</f>
        <v>0.11165575180962284</v>
      </c>
      <c r="I60" s="10">
        <f>E35</f>
        <v>0.1472701932859318</v>
      </c>
      <c r="J60" s="87"/>
    </row>
    <row r="61" spans="3:10" ht="15.75" thickBot="1">
      <c r="C61" s="86" t="s">
        <v>10</v>
      </c>
      <c r="D61" s="11">
        <f>D36</f>
        <v>0.52460555252531127</v>
      </c>
      <c r="E61" s="12">
        <f>D37</f>
        <v>0.7187369373096415</v>
      </c>
      <c r="F61" s="72">
        <f>D38</f>
        <v>0.63800347216745468</v>
      </c>
      <c r="G61" s="12">
        <f>E36</f>
        <v>0.25050741164618257</v>
      </c>
      <c r="H61" s="12">
        <f>E37</f>
        <v>9.2405965427300493E-2</v>
      </c>
      <c r="I61" s="47">
        <f>E38</f>
        <v>0.17349661974757755</v>
      </c>
      <c r="J61" s="87"/>
    </row>
    <row r="63" spans="3:10">
      <c r="C63" s="103"/>
    </row>
    <row r="64" spans="3:10">
      <c r="C64" s="2"/>
    </row>
    <row r="65" spans="3:3">
      <c r="C65" s="103"/>
    </row>
    <row r="66" spans="3:3">
      <c r="C66" s="103"/>
    </row>
    <row r="67" spans="3:3">
      <c r="C67" s="2"/>
    </row>
    <row r="68" spans="3:3">
      <c r="C68" s="103"/>
    </row>
    <row r="69" spans="3:3">
      <c r="C69" s="103"/>
    </row>
    <row r="70" spans="3:3">
      <c r="C70" s="2"/>
    </row>
    <row r="71" spans="3:3">
      <c r="C71" s="103"/>
    </row>
    <row r="72" spans="3:3">
      <c r="C72" s="103"/>
    </row>
    <row r="73" spans="3:3">
      <c r="C73" s="2"/>
    </row>
    <row r="74" spans="3:3">
      <c r="C74" s="103"/>
    </row>
    <row r="75" spans="3:3">
      <c r="C75" s="103"/>
    </row>
    <row r="76" spans="3:3">
      <c r="C76" s="2"/>
    </row>
    <row r="77" spans="3:3">
      <c r="C77" s="103"/>
    </row>
    <row r="78" spans="3:3">
      <c r="C78" s="103"/>
    </row>
    <row r="79" spans="3:3">
      <c r="C79" s="2"/>
    </row>
    <row r="80" spans="3:3">
      <c r="C80" s="103"/>
    </row>
    <row r="81" spans="3:3">
      <c r="C81" s="103"/>
    </row>
    <row r="82" spans="3:3">
      <c r="C82" s="2"/>
    </row>
    <row r="83" spans="3:3">
      <c r="C83" s="103"/>
    </row>
    <row r="84" spans="3:3">
      <c r="C84" s="103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</sheetData>
  <mergeCells count="36">
    <mergeCell ref="B30:B32"/>
    <mergeCell ref="B33:B35"/>
    <mergeCell ref="B18:B20"/>
    <mergeCell ref="AE18:AF20"/>
    <mergeCell ref="B21:B23"/>
    <mergeCell ref="B24:B26"/>
    <mergeCell ref="B27:B29"/>
    <mergeCell ref="B6:B8"/>
    <mergeCell ref="B9:B11"/>
    <mergeCell ref="AC11:AF13"/>
    <mergeCell ref="B12:B14"/>
    <mergeCell ref="B15:B17"/>
    <mergeCell ref="B39:B41"/>
    <mergeCell ref="C1:Z1"/>
    <mergeCell ref="T4:U4"/>
    <mergeCell ref="V4:W4"/>
    <mergeCell ref="X4:Y4"/>
    <mergeCell ref="D4:E4"/>
    <mergeCell ref="F4:G4"/>
    <mergeCell ref="H4:I4"/>
    <mergeCell ref="J4:K4"/>
    <mergeCell ref="D3:Y3"/>
    <mergeCell ref="Z4:AA4"/>
    <mergeCell ref="L4:M4"/>
    <mergeCell ref="N4:O4"/>
    <mergeCell ref="P4:Q4"/>
    <mergeCell ref="R4:S4"/>
    <mergeCell ref="B36:B38"/>
    <mergeCell ref="D49:F49"/>
    <mergeCell ref="G49:I49"/>
    <mergeCell ref="D48:I48"/>
    <mergeCell ref="C48:C50"/>
    <mergeCell ref="AH30:AJ30"/>
    <mergeCell ref="AH31:AK31"/>
    <mergeCell ref="AH32:AK32"/>
    <mergeCell ref="G43:Q43"/>
  </mergeCells>
  <conditionalFormatting sqref="D6:D38 F6:F38 H6:H38 J6:J38 L6:L38 N6:N38 P6:P38 R6:R38 T6:T38 V6:V38 X6:X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:Y38 W6:W38 U6:U38 S6:S38 Q6:Q38 O6:O38 M6:M38 K6:K38 I6:I38 G6:G38 E6:E3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41 X39:X41 V39:V41 T39:T41 R39:R41 P39:P41 N39:N41 L39:L41 J39:J41 H39:H41 F39:F41 D39:D4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6:AA41 Y39:Y41 W39:W41 U39:U41 S39:S41 Q39:Q41 O39:O41 M39:M41 K39:K41 I39:I41 G39:G41 E39:E4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9"/>
  <sheetViews>
    <sheetView tabSelected="1" workbookViewId="0">
      <selection activeCell="H32" sqref="H32"/>
    </sheetView>
  </sheetViews>
  <sheetFormatPr baseColWidth="10" defaultRowHeight="15"/>
  <cols>
    <col min="2" max="2" width="14.28515625" customWidth="1"/>
    <col min="3" max="4" width="11.42578125" customWidth="1"/>
    <col min="12" max="12" width="11.42578125" customWidth="1"/>
    <col min="16" max="16" width="14.42578125" customWidth="1"/>
    <col min="17" max="17" width="14.28515625" customWidth="1"/>
  </cols>
  <sheetData>
    <row r="1" spans="2:19" ht="15.75" thickBot="1"/>
    <row r="2" spans="2:19" ht="19.5" thickBot="1">
      <c r="P2" s="79" t="s">
        <v>51</v>
      </c>
      <c r="Q2" s="80" t="s">
        <v>0</v>
      </c>
      <c r="R2" s="53" t="s">
        <v>50</v>
      </c>
      <c r="S2" s="105" t="s">
        <v>41</v>
      </c>
    </row>
    <row r="3" spans="2:19" ht="16.5" thickBot="1">
      <c r="C3" s="154" t="s">
        <v>37</v>
      </c>
      <c r="D3" s="155"/>
      <c r="E3" s="155"/>
      <c r="F3" s="155"/>
      <c r="G3" s="155"/>
      <c r="H3" s="156"/>
      <c r="P3" s="141" t="s">
        <v>11</v>
      </c>
      <c r="Q3" s="82" t="s">
        <v>30</v>
      </c>
      <c r="R3" s="17">
        <f>C5</f>
        <v>0.70776581190272148</v>
      </c>
      <c r="S3" s="20">
        <f>D5</f>
        <v>8.7465688109029369E-2</v>
      </c>
    </row>
    <row r="4" spans="2:19" ht="15.75" thickBot="1">
      <c r="B4" s="78" t="s">
        <v>51</v>
      </c>
      <c r="C4" s="138" t="s">
        <v>34</v>
      </c>
      <c r="D4" s="139"/>
      <c r="E4" s="138" t="s">
        <v>35</v>
      </c>
      <c r="F4" s="140"/>
      <c r="G4" s="139" t="s">
        <v>36</v>
      </c>
      <c r="H4" s="140"/>
      <c r="P4" s="142"/>
      <c r="Q4" s="81" t="s">
        <v>38</v>
      </c>
      <c r="R4" s="8">
        <f>E5</f>
        <v>0.74615355095657943</v>
      </c>
      <c r="S4" s="10">
        <f>F5</f>
        <v>8.2782851512821887E-2</v>
      </c>
    </row>
    <row r="5" spans="2:19" ht="15.75" thickBot="1">
      <c r="B5" s="94" t="s">
        <v>11</v>
      </c>
      <c r="C5" s="50">
        <v>0.70776581190272148</v>
      </c>
      <c r="D5" s="31">
        <v>8.7465688109029369E-2</v>
      </c>
      <c r="E5" s="50">
        <v>0.74615355095657943</v>
      </c>
      <c r="F5" s="51">
        <v>8.2782851512821887E-2</v>
      </c>
      <c r="G5" s="31">
        <v>0.79635903241149519</v>
      </c>
      <c r="H5" s="51">
        <v>8.4465120083692516E-2</v>
      </c>
      <c r="P5" s="142"/>
      <c r="Q5" s="81" t="s">
        <v>31</v>
      </c>
      <c r="R5" s="8">
        <f>G5</f>
        <v>0.79635903241149519</v>
      </c>
      <c r="S5" s="10">
        <f>H5</f>
        <v>8.4465120083692516E-2</v>
      </c>
    </row>
    <row r="6" spans="2:19">
      <c r="B6" s="95" t="s">
        <v>1</v>
      </c>
      <c r="C6" s="17">
        <v>0.42690209352206138</v>
      </c>
      <c r="D6" s="19">
        <v>0.5141082510919609</v>
      </c>
      <c r="E6" s="17">
        <v>0.20114119909831657</v>
      </c>
      <c r="F6" s="20">
        <v>0.78621398380630392</v>
      </c>
      <c r="G6" s="19">
        <v>5.5314177738549991E-2</v>
      </c>
      <c r="H6" s="20">
        <v>0.79548996195826216</v>
      </c>
      <c r="P6" s="141" t="s">
        <v>1</v>
      </c>
      <c r="Q6" s="82" t="s">
        <v>30</v>
      </c>
      <c r="R6" s="61">
        <f>C6</f>
        <v>0.42690209352206138</v>
      </c>
      <c r="S6" s="26">
        <f>D6</f>
        <v>0.5141082510919609</v>
      </c>
    </row>
    <row r="7" spans="2:19">
      <c r="B7" s="94" t="s">
        <v>2</v>
      </c>
      <c r="C7" s="8">
        <v>0.69712838661875454</v>
      </c>
      <c r="D7" s="9">
        <v>0.19970173398566621</v>
      </c>
      <c r="E7" s="8">
        <v>0.74772880885537207</v>
      </c>
      <c r="F7" s="10">
        <v>0.17786872156734457</v>
      </c>
      <c r="G7" s="9">
        <v>0.66848531228743158</v>
      </c>
      <c r="H7" s="10">
        <v>0.24868502014788721</v>
      </c>
      <c r="P7" s="142"/>
      <c r="Q7" s="81" t="s">
        <v>38</v>
      </c>
      <c r="R7" s="8">
        <f>E6</f>
        <v>0.20114119909831657</v>
      </c>
      <c r="S7" s="10">
        <f>F6</f>
        <v>0.78621398380630392</v>
      </c>
    </row>
    <row r="8" spans="2:19" ht="15.75" thickBot="1">
      <c r="B8" s="94" t="s">
        <v>3</v>
      </c>
      <c r="C8" s="8">
        <v>-0.62191276509803861</v>
      </c>
      <c r="D8" s="9">
        <v>1.7696544212653924</v>
      </c>
      <c r="E8" s="8">
        <v>0.64801771877450454</v>
      </c>
      <c r="F8" s="10">
        <v>0.28844902096384717</v>
      </c>
      <c r="G8" s="9">
        <v>0.22724469583989579</v>
      </c>
      <c r="H8" s="10">
        <v>0.80768156515699707</v>
      </c>
      <c r="P8" s="143"/>
      <c r="Q8" s="83" t="s">
        <v>31</v>
      </c>
      <c r="R8" s="8">
        <f>G6</f>
        <v>5.5314177738549991E-2</v>
      </c>
      <c r="S8" s="10">
        <f>H6</f>
        <v>0.79548996195826216</v>
      </c>
    </row>
    <row r="9" spans="2:19">
      <c r="B9" s="94" t="s">
        <v>4</v>
      </c>
      <c r="C9" s="8">
        <v>0.22607816905356781</v>
      </c>
      <c r="D9" s="9">
        <v>0.69869633271385378</v>
      </c>
      <c r="E9" s="8">
        <v>0.15935669865617988</v>
      </c>
      <c r="F9" s="10">
        <v>0.77071364431686329</v>
      </c>
      <c r="G9" s="9">
        <v>0.15307718540706222</v>
      </c>
      <c r="H9" s="10">
        <v>0.6735864324554639</v>
      </c>
      <c r="P9" s="142" t="s">
        <v>2</v>
      </c>
      <c r="Q9" s="81" t="s">
        <v>30</v>
      </c>
      <c r="R9" s="61">
        <f>C7</f>
        <v>0.69712838661875454</v>
      </c>
      <c r="S9" s="26">
        <f>D7</f>
        <v>0.19970173398566621</v>
      </c>
    </row>
    <row r="10" spans="2:19" ht="15.75" thickBot="1">
      <c r="B10" s="96" t="s">
        <v>5</v>
      </c>
      <c r="C10" s="11">
        <v>-1.6453509803287703</v>
      </c>
      <c r="D10" s="12">
        <v>2.2790384886249986</v>
      </c>
      <c r="E10" s="11">
        <v>1.2159403964525617E-3</v>
      </c>
      <c r="F10" s="47">
        <v>0.88599588614930436</v>
      </c>
      <c r="G10" s="12">
        <v>-0.65381727721378191</v>
      </c>
      <c r="H10" s="47">
        <v>1.6962598017281842</v>
      </c>
      <c r="P10" s="142"/>
      <c r="Q10" s="81" t="s">
        <v>38</v>
      </c>
      <c r="R10" s="8">
        <f>E7</f>
        <v>0.74772880885537207</v>
      </c>
      <c r="S10" s="10">
        <f>F7</f>
        <v>0.17786872156734457</v>
      </c>
    </row>
    <row r="11" spans="2:19" ht="15.75" thickBot="1">
      <c r="B11" s="94" t="s">
        <v>6</v>
      </c>
      <c r="C11" s="8">
        <v>0.75620412112524638</v>
      </c>
      <c r="D11" s="9">
        <v>0.15061594321553734</v>
      </c>
      <c r="E11" s="8">
        <v>0.78733499640359172</v>
      </c>
      <c r="F11" s="10">
        <v>0.13609234617728727</v>
      </c>
      <c r="G11" s="9">
        <v>0.68292410218683486</v>
      </c>
      <c r="H11" s="10">
        <v>0.24171246867717311</v>
      </c>
      <c r="P11" s="142"/>
      <c r="Q11" s="81" t="s">
        <v>31</v>
      </c>
      <c r="R11" s="8">
        <f>G7</f>
        <v>0.66848531228743158</v>
      </c>
      <c r="S11" s="10">
        <f>H7</f>
        <v>0.24868502014788721</v>
      </c>
    </row>
    <row r="12" spans="2:19">
      <c r="B12" s="94" t="s">
        <v>7</v>
      </c>
      <c r="C12" s="8">
        <v>0.81432086577195062</v>
      </c>
      <c r="D12" s="9">
        <v>0.11187235121898052</v>
      </c>
      <c r="E12" s="8">
        <v>0.81118018277246062</v>
      </c>
      <c r="F12" s="10">
        <v>0.12139450608532987</v>
      </c>
      <c r="G12" s="9">
        <v>0.76405951530176697</v>
      </c>
      <c r="H12" s="10">
        <v>0.16714470759370506</v>
      </c>
      <c r="P12" s="141" t="s">
        <v>3</v>
      </c>
      <c r="Q12" s="82" t="s">
        <v>30</v>
      </c>
      <c r="R12" s="61">
        <f>C8</f>
        <v>-0.62191276509803861</v>
      </c>
      <c r="S12" s="26">
        <f>D8</f>
        <v>1.7696544212653924</v>
      </c>
    </row>
    <row r="13" spans="2:19">
      <c r="B13" s="94" t="s">
        <v>8</v>
      </c>
      <c r="C13" s="8">
        <v>0.7890342390892765</v>
      </c>
      <c r="D13" s="9">
        <v>0.12676512454461653</v>
      </c>
      <c r="E13" s="8">
        <v>0.81079103621713344</v>
      </c>
      <c r="F13" s="10">
        <v>0.12078899199760122</v>
      </c>
      <c r="G13" s="9">
        <v>0.72674249807583691</v>
      </c>
      <c r="H13" s="10">
        <v>0.20368079450255014</v>
      </c>
      <c r="P13" s="142"/>
      <c r="Q13" s="81" t="s">
        <v>38</v>
      </c>
      <c r="R13" s="8">
        <f>E8</f>
        <v>0.64801771877450454</v>
      </c>
      <c r="S13" s="10">
        <f>F8</f>
        <v>0.28844902096384717</v>
      </c>
    </row>
    <row r="14" spans="2:19" ht="15.75" thickBot="1">
      <c r="B14" s="94" t="s">
        <v>9</v>
      </c>
      <c r="C14" s="8">
        <v>0.74352813640101201</v>
      </c>
      <c r="D14" s="9">
        <v>0.14396503587530435</v>
      </c>
      <c r="E14" s="8">
        <v>0.84214142141651593</v>
      </c>
      <c r="F14" s="10">
        <v>8.9238083756865344E-2</v>
      </c>
      <c r="G14" s="9">
        <v>0.79234972528185554</v>
      </c>
      <c r="H14" s="10">
        <v>0.1361200578031215</v>
      </c>
      <c r="P14" s="143"/>
      <c r="Q14" s="83" t="s">
        <v>31</v>
      </c>
      <c r="R14" s="8">
        <f>G8</f>
        <v>0.22724469583989579</v>
      </c>
      <c r="S14" s="10">
        <f>H8</f>
        <v>0.80768156515699707</v>
      </c>
    </row>
    <row r="15" spans="2:19" ht="15.75" thickBot="1">
      <c r="B15" s="96" t="s">
        <v>10</v>
      </c>
      <c r="C15" s="48">
        <v>0.80854199750069911</v>
      </c>
      <c r="D15" s="29">
        <v>0.1158994059307656</v>
      </c>
      <c r="E15" s="48">
        <v>0.84021149016662477</v>
      </c>
      <c r="F15" s="49">
        <v>9.7905145852719172E-2</v>
      </c>
      <c r="G15" s="29">
        <v>0.76623367441278489</v>
      </c>
      <c r="H15" s="49">
        <v>0.17626117717919859</v>
      </c>
      <c r="L15" s="1">
        <f ca="1">INDIRECT({"'position reconstruction 2'!D6";"'position reconstruction 2'!D9";"'position reconstruction 2'!D12";"'position reconstruction 2'!D15";"'position reconstruction 2'!D18";"'position reconstruction 2'!D21";"'position reconstruction 2'!D24";"'position reconstruction 2'!D27";"'position reconstruction 2'!D30";"'position reconstruction 2'!D33";"'position reconstruction 2'!D36"})</f>
        <v>0.55433420844796311</v>
      </c>
      <c r="P15" s="142" t="s">
        <v>4</v>
      </c>
      <c r="Q15" s="81" t="s">
        <v>30</v>
      </c>
      <c r="R15" s="61">
        <f>C9</f>
        <v>0.22607816905356781</v>
      </c>
      <c r="S15" s="26">
        <f>D9</f>
        <v>0.69869633271385378</v>
      </c>
    </row>
    <row r="16" spans="2:19">
      <c r="L16" s="1">
        <f ca="1">INDIRECT({"'position reconstruction 2'!D9";"'position reconstruction 2'!D12";"'position reconstruction 2'!D15";"'position reconstruction 2'!D18";"'position reconstruction 2'!D21";"'position reconstruction 2'!D24";"'position reconstruction 2'!D27";"'position reconstruction 2'!D30";"'position reconstruction 2'!D33";"'position reconstruction 2'!D36"})</f>
        <v>0.46553522926456486</v>
      </c>
      <c r="P16" s="142"/>
      <c r="Q16" s="81" t="s">
        <v>38</v>
      </c>
      <c r="R16" s="8">
        <f>E9</f>
        <v>0.15935669865617988</v>
      </c>
      <c r="S16" s="10">
        <f>F9</f>
        <v>0.77071364431686329</v>
      </c>
    </row>
    <row r="17" spans="2:19" ht="15.75" thickBot="1">
      <c r="P17" s="142"/>
      <c r="Q17" s="81" t="s">
        <v>31</v>
      </c>
      <c r="R17" s="8">
        <f>G9</f>
        <v>0.15307718540706222</v>
      </c>
      <c r="S17" s="10">
        <f>H9</f>
        <v>0.6735864324554639</v>
      </c>
    </row>
    <row r="18" spans="2:19">
      <c r="B18" s="99" t="s">
        <v>48</v>
      </c>
      <c r="C18" s="100" t="s">
        <v>34</v>
      </c>
      <c r="D18" s="100" t="s">
        <v>35</v>
      </c>
      <c r="E18" s="101" t="s">
        <v>36</v>
      </c>
      <c r="L18" t="str">
        <f>CONCATENATE('position reconstruction 2'!D6,'position reconstruction 2'!D9,'position reconstruction 2'!D12,'position reconstruction 2'!D15,'position reconstruction 2'!D18,'position reconstruction 2'!D21,'position reconstruction 2'!D24,'position reconstruction 2'!D27,'position reconstruction 2'!D30,'position reconstruction 2'!D33,'position reconstruction 2'!D36)</f>
        <v>0,5543342084479630,4655352292645650,3580013433337650,3688283298941590,4848577557906410,3431962425864320,466692564398060,5386404764758630,543100745842070,4405263952108760,524605552525311</v>
      </c>
      <c r="P18" s="141" t="s">
        <v>5</v>
      </c>
      <c r="Q18" s="82" t="s">
        <v>30</v>
      </c>
      <c r="R18" s="61">
        <f>C10</f>
        <v>-1.6453509803287703</v>
      </c>
      <c r="S18" s="26">
        <f>D10</f>
        <v>2.2790384886249986</v>
      </c>
    </row>
    <row r="19" spans="2:19" ht="15.75" thickBot="1">
      <c r="B19" s="102" t="s">
        <v>49</v>
      </c>
      <c r="C19" s="35">
        <f>CORREL(C5:C15,D5:D15)</f>
        <v>-0.98817047287160253</v>
      </c>
      <c r="D19" s="35">
        <f>CORREL(E5:E15,F5:F15)</f>
        <v>-0.99278532003494135</v>
      </c>
      <c r="E19" s="36">
        <f>CORREL(G5:G15,H5:H15)</f>
        <v>-0.99188634534356357</v>
      </c>
      <c r="P19" s="142"/>
      <c r="Q19" s="81" t="s">
        <v>38</v>
      </c>
      <c r="R19" s="8">
        <f>E10</f>
        <v>1.2159403964525617E-3</v>
      </c>
      <c r="S19" s="10">
        <f>F10</f>
        <v>0.88599588614930436</v>
      </c>
    </row>
    <row r="20" spans="2:19" ht="15.75" thickBot="1">
      <c r="P20" s="143"/>
      <c r="Q20" s="83" t="s">
        <v>31</v>
      </c>
      <c r="R20" s="8">
        <f>G10</f>
        <v>-0.65381727721378191</v>
      </c>
      <c r="S20" s="10">
        <f>H10</f>
        <v>1.6962598017281842</v>
      </c>
    </row>
    <row r="21" spans="2:19" ht="15.75" thickBot="1">
      <c r="D21" s="138" t="s">
        <v>52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40"/>
      <c r="P21" s="142" t="s">
        <v>6</v>
      </c>
      <c r="Q21" s="81" t="s">
        <v>30</v>
      </c>
      <c r="R21" s="61">
        <f>C11</f>
        <v>0.75620412112524638</v>
      </c>
      <c r="S21" s="26">
        <f>D11</f>
        <v>0.15061594321553734</v>
      </c>
    </row>
    <row r="22" spans="2:19" ht="15.75" thickBot="1">
      <c r="D22" s="116" t="s">
        <v>23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8"/>
      <c r="P22" s="142"/>
      <c r="Q22" s="81" t="s">
        <v>38</v>
      </c>
      <c r="R22" s="8">
        <f>E11</f>
        <v>0.78733499640359172</v>
      </c>
      <c r="S22" s="10">
        <f>F11</f>
        <v>0.13609234617728727</v>
      </c>
    </row>
    <row r="23" spans="2:19" ht="19.5" thickBot="1">
      <c r="B23" s="107"/>
      <c r="C23" s="106" t="s">
        <v>48</v>
      </c>
      <c r="D23" s="3">
        <v>5</v>
      </c>
      <c r="E23" s="44">
        <v>6</v>
      </c>
      <c r="F23" s="44">
        <v>7</v>
      </c>
      <c r="G23" s="44">
        <v>8</v>
      </c>
      <c r="H23" s="44">
        <v>9</v>
      </c>
      <c r="I23" s="44">
        <v>10</v>
      </c>
      <c r="J23" s="44">
        <v>11</v>
      </c>
      <c r="K23" s="44">
        <v>12</v>
      </c>
      <c r="L23" s="44">
        <v>13</v>
      </c>
      <c r="M23" s="44">
        <v>14</v>
      </c>
      <c r="N23" s="45">
        <v>15</v>
      </c>
      <c r="P23" s="142"/>
      <c r="Q23" s="81" t="s">
        <v>31</v>
      </c>
      <c r="R23" s="8">
        <f>G11</f>
        <v>0.68292410218683486</v>
      </c>
      <c r="S23" s="10">
        <f>H11</f>
        <v>0.24171246867717311</v>
      </c>
    </row>
    <row r="24" spans="2:19">
      <c r="B24" s="104"/>
      <c r="C24" s="81" t="s">
        <v>30</v>
      </c>
      <c r="D24" s="63">
        <f>CORREL('position reconstruction 2'!D51:D61,'virtual force estimation'!C5:C15)</f>
        <v>0.68760742451631485</v>
      </c>
      <c r="E24" s="34"/>
      <c r="F24" s="34"/>
      <c r="G24" s="34"/>
      <c r="H24" s="34"/>
      <c r="I24" s="34"/>
      <c r="J24" s="34"/>
      <c r="K24" s="34"/>
      <c r="L24" s="34"/>
      <c r="M24" s="34"/>
      <c r="N24" s="7"/>
      <c r="P24" s="141" t="s">
        <v>7</v>
      </c>
      <c r="Q24" s="82" t="s">
        <v>30</v>
      </c>
      <c r="R24" s="61">
        <f>C12</f>
        <v>0.81432086577195062</v>
      </c>
      <c r="S24" s="26">
        <f>D12</f>
        <v>0.11187235121898052</v>
      </c>
    </row>
    <row r="25" spans="2:19">
      <c r="B25" s="104"/>
      <c r="C25" s="81" t="s">
        <v>38</v>
      </c>
      <c r="D25" s="65">
        <f>CORREL('position reconstruction 2'!E51:E61,'virtual force estimation'!E5:E15)</f>
        <v>6.9098372929781049E-2</v>
      </c>
      <c r="E25" s="2"/>
      <c r="F25" s="2"/>
      <c r="G25" s="2"/>
      <c r="H25" s="2"/>
      <c r="I25" s="2"/>
      <c r="J25" s="2"/>
      <c r="K25" s="2"/>
      <c r="L25" s="2"/>
      <c r="M25" s="2"/>
      <c r="N25" s="40"/>
      <c r="P25" s="142"/>
      <c r="Q25" s="81" t="s">
        <v>38</v>
      </c>
      <c r="R25" s="8">
        <f>E12</f>
        <v>0.81118018277246062</v>
      </c>
      <c r="S25" s="10">
        <f>F12</f>
        <v>0.12139450608532987</v>
      </c>
    </row>
    <row r="26" spans="2:19" ht="15.75" thickBot="1">
      <c r="B26" s="104"/>
      <c r="C26" s="81" t="s">
        <v>31</v>
      </c>
      <c r="D26" s="65">
        <f>CORREL('position reconstruction 2'!F51:F61,'virtual force estimation'!G5:G15)</f>
        <v>0.77713660948668661</v>
      </c>
      <c r="E26" s="2"/>
      <c r="F26" s="2"/>
      <c r="G26" s="2"/>
      <c r="H26" s="2"/>
      <c r="I26" s="2"/>
      <c r="J26" s="2"/>
      <c r="K26" s="2"/>
      <c r="L26" s="2"/>
      <c r="M26" s="2"/>
      <c r="N26" s="40"/>
      <c r="P26" s="143"/>
      <c r="Q26" s="83" t="s">
        <v>31</v>
      </c>
      <c r="R26" s="8">
        <f>G12</f>
        <v>0.76405951530176697</v>
      </c>
      <c r="S26" s="10">
        <f>H12</f>
        <v>0.16714470759370506</v>
      </c>
    </row>
    <row r="27" spans="2:19" ht="15.75" thickBot="1">
      <c r="B27" s="104"/>
      <c r="C27" s="157" t="s">
        <v>47</v>
      </c>
      <c r="D27" s="3">
        <f>CORREL('position reconstruction 2'!D6:D38,'virtual force estimation'!$R3:$R35)</f>
        <v>0.51533563292440365</v>
      </c>
      <c r="E27" s="44">
        <f>CORREL('position reconstruction 2'!F6:F38,'virtual force estimation'!$R3:$R35)</f>
        <v>0.5709986925790016</v>
      </c>
      <c r="F27" s="44">
        <f>CORREL('position reconstruction 2'!H6:H38,'virtual force estimation'!$R3:$R35)</f>
        <v>0.45432558061670214</v>
      </c>
      <c r="G27" s="44">
        <f>CORREL('position reconstruction 2'!J6:J38,'virtual force estimation'!$R3:$R35)</f>
        <v>0.49238450337576078</v>
      </c>
      <c r="H27" s="44">
        <f>CORREL('position reconstruction 2'!L6:L38,'virtual force estimation'!$R3:$R35)</f>
        <v>0.32428532643501512</v>
      </c>
      <c r="I27" s="44">
        <f>CORREL('position reconstruction 2'!N6:N38,'virtual force estimation'!$R3:$R35)</f>
        <v>0.40623232400834564</v>
      </c>
      <c r="J27" s="44">
        <f>CORREL('position reconstruction 2'!P6:P38,'virtual force estimation'!$R3:$R35)</f>
        <v>0.31136495476130299</v>
      </c>
      <c r="K27" s="44">
        <f>CORREL('position reconstruction 2'!Q6:Q38,'virtual force estimation'!$R3:$R35)</f>
        <v>-0.27672161413802587</v>
      </c>
      <c r="L27" s="44">
        <f>CORREL('position reconstruction 2'!S6:S38,'virtual force estimation'!$R3:$R35)</f>
        <v>-0.23694635833190997</v>
      </c>
      <c r="M27" s="44">
        <f>CORREL('position reconstruction 2'!U6:U38,'virtual force estimation'!$R3:$R35)</f>
        <v>-0.37462319425267471</v>
      </c>
      <c r="N27" s="45">
        <f>CORREL('position reconstruction 2'!W6:W38,'virtual force estimation'!$R3:$R35)</f>
        <v>-0.43039544800781593</v>
      </c>
      <c r="O27" s="2"/>
      <c r="P27" s="142" t="s">
        <v>8</v>
      </c>
      <c r="Q27" s="81" t="s">
        <v>30</v>
      </c>
      <c r="R27" s="61">
        <f>C13</f>
        <v>0.7890342390892765</v>
      </c>
      <c r="S27" s="26">
        <f>D13</f>
        <v>0.12676512454461653</v>
      </c>
    </row>
    <row r="28" spans="2:19">
      <c r="B28" s="104"/>
      <c r="C28" s="10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42"/>
      <c r="Q28" s="81" t="s">
        <v>38</v>
      </c>
      <c r="R28" s="8">
        <f>E13</f>
        <v>0.81079103621713344</v>
      </c>
      <c r="S28" s="10">
        <f>F13</f>
        <v>0.12078899199760122</v>
      </c>
    </row>
    <row r="29" spans="2:19" ht="15.75" thickBot="1">
      <c r="B29" s="104"/>
      <c r="C29" s="10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42"/>
      <c r="Q29" s="81" t="s">
        <v>31</v>
      </c>
      <c r="R29" s="8">
        <f>G13</f>
        <v>0.72674249807583691</v>
      </c>
      <c r="S29" s="10">
        <f>H13</f>
        <v>0.20368079450255014</v>
      </c>
    </row>
    <row r="30" spans="2:19">
      <c r="B30" s="104"/>
      <c r="C30" s="10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41" t="s">
        <v>9</v>
      </c>
      <c r="Q30" s="82" t="s">
        <v>30</v>
      </c>
      <c r="R30" s="61">
        <f>C14</f>
        <v>0.74352813640101201</v>
      </c>
      <c r="S30" s="26">
        <f>D14</f>
        <v>0.14396503587530435</v>
      </c>
    </row>
    <row r="31" spans="2:19">
      <c r="B31" s="104"/>
      <c r="C31" s="103"/>
      <c r="D31" s="2" t="e">
        <f>CORREL((MOD(ROW('virtual force estimation'!D6:D38),3)=0)*('virtual force estimation'!D6:D38),C5:C15)</f>
        <v>#N/A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42"/>
      <c r="Q31" s="81" t="s">
        <v>38</v>
      </c>
      <c r="R31" s="8">
        <f>E14</f>
        <v>0.84214142141651593</v>
      </c>
      <c r="S31" s="10">
        <f>F14</f>
        <v>8.9238083756865344E-2</v>
      </c>
    </row>
    <row r="32" spans="2:19" ht="15.75" thickBot="1">
      <c r="B32" s="104"/>
      <c r="C32" s="103"/>
      <c r="D32" s="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43"/>
      <c r="Q32" s="83" t="s">
        <v>31</v>
      </c>
      <c r="R32" s="8">
        <f>G14</f>
        <v>0.79234972528185554</v>
      </c>
      <c r="S32" s="10">
        <f>H14</f>
        <v>0.1361200578031215</v>
      </c>
    </row>
    <row r="33" spans="2:19">
      <c r="B33" s="104"/>
      <c r="C33" s="10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42" t="s">
        <v>10</v>
      </c>
      <c r="Q33" s="81" t="s">
        <v>30</v>
      </c>
      <c r="R33" s="61">
        <f>C15</f>
        <v>0.80854199750069911</v>
      </c>
      <c r="S33" s="26">
        <f>D15</f>
        <v>0.1158994059307656</v>
      </c>
    </row>
    <row r="34" spans="2:19">
      <c r="B34" s="104"/>
      <c r="C34" s="10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42"/>
      <c r="Q34" s="81" t="s">
        <v>38</v>
      </c>
      <c r="R34" s="8">
        <f>E15</f>
        <v>0.84021149016662477</v>
      </c>
      <c r="S34" s="10">
        <f>F15</f>
        <v>9.7905145852719172E-2</v>
      </c>
    </row>
    <row r="35" spans="2:19" ht="15.75" thickBot="1">
      <c r="B35" s="104"/>
      <c r="C35" s="10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43"/>
      <c r="Q35" s="83" t="s">
        <v>31</v>
      </c>
      <c r="R35" s="11">
        <f>G15</f>
        <v>0.76623367441278489</v>
      </c>
      <c r="S35" s="47">
        <f>H15</f>
        <v>0.17626117717919859</v>
      </c>
    </row>
    <row r="36" spans="2:19">
      <c r="B36" s="104"/>
      <c r="C36" s="10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04"/>
      <c r="Q36" s="103"/>
      <c r="R36" s="1"/>
    </row>
    <row r="37" spans="2:19">
      <c r="B37" s="104"/>
      <c r="C37" s="10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04"/>
      <c r="Q37" s="103"/>
    </row>
    <row r="38" spans="2:19">
      <c r="B38" s="104"/>
      <c r="C38" s="10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04"/>
      <c r="Q38" s="103"/>
    </row>
    <row r="39" spans="2:19">
      <c r="B39" s="104"/>
      <c r="C39" s="10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9">
      <c r="B40" s="104"/>
      <c r="C40" s="10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9">
      <c r="B41" s="104"/>
      <c r="C41" s="10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9">
      <c r="B42" s="104"/>
      <c r="C42" s="10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9">
      <c r="B43" s="104"/>
      <c r="C43" s="10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9">
      <c r="B44" s="104"/>
      <c r="C44" s="10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9">
      <c r="B45" s="104"/>
      <c r="C45" s="10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9">
      <c r="B46" s="104"/>
      <c r="C46" s="10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9">
      <c r="B47" s="104"/>
      <c r="C47" s="10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9">
      <c r="B48" s="104"/>
      <c r="C48" s="10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>
      <c r="B49" s="104"/>
      <c r="C49" s="10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>
      <c r="B50" s="104"/>
      <c r="C50" s="10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>
      <c r="B51" s="104"/>
      <c r="C51" s="10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>
      <c r="B52" s="104"/>
      <c r="C52" s="10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2:15">
      <c r="B53" s="104"/>
      <c r="C53" s="10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2:15">
      <c r="B54" s="104"/>
      <c r="C54" s="10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2:15">
      <c r="B55" s="104"/>
      <c r="C55" s="10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2:15">
      <c r="B56" s="104"/>
      <c r="C56" s="10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2:15">
      <c r="B57" s="104"/>
      <c r="C57" s="10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5">
      <c r="B58" s="104"/>
      <c r="C58" s="103"/>
    </row>
    <row r="59" spans="2:15">
      <c r="B59" s="104"/>
      <c r="C59" s="103"/>
    </row>
  </sheetData>
  <mergeCells count="17">
    <mergeCell ref="C3:H3"/>
    <mergeCell ref="G4:H4"/>
    <mergeCell ref="E4:F4"/>
    <mergeCell ref="C4:D4"/>
    <mergeCell ref="P3:P5"/>
    <mergeCell ref="P33:P35"/>
    <mergeCell ref="P6:P8"/>
    <mergeCell ref="P9:P11"/>
    <mergeCell ref="P12:P14"/>
    <mergeCell ref="P15:P17"/>
    <mergeCell ref="P18:P20"/>
    <mergeCell ref="D22:N22"/>
    <mergeCell ref="P21:P23"/>
    <mergeCell ref="P24:P26"/>
    <mergeCell ref="P27:P29"/>
    <mergeCell ref="P30:P32"/>
    <mergeCell ref="D21:N21"/>
  </mergeCells>
  <conditionalFormatting sqref="C5:C15 E5:E15 G5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5 F5:F15 H5:H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position reconstruction</vt:lpstr>
      <vt:lpstr>position reconstruction 2</vt:lpstr>
      <vt:lpstr>virtual force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fortineau_vin</dc:creator>
  <cp:lastModifiedBy>Auto</cp:lastModifiedBy>
  <dcterms:created xsi:type="dcterms:W3CDTF">2021-03-02T13:36:49Z</dcterms:created>
  <dcterms:modified xsi:type="dcterms:W3CDTF">2021-03-09T15:23:09Z</dcterms:modified>
</cp:coreProperties>
</file>